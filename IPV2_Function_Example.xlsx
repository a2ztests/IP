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mir\Big_Data\IPV2\"/>
    </mc:Choice>
  </mc:AlternateContent>
  <bookViews>
    <workbookView xWindow="0" yWindow="0" windowWidth="20460" windowHeight="8010" activeTab="3"/>
  </bookViews>
  <sheets>
    <sheet name="ages" sheetId="1" r:id="rId1"/>
    <sheet name="Dates" sheetId="4" r:id="rId2"/>
    <sheet name="ages betty" sheetId="2" r:id="rId3"/>
    <sheet name="Function" sheetId="3" r:id="rId4"/>
    <sheet name="Result_Sequential_decimal_num" sheetId="6" r:id="rId5"/>
    <sheet name="Full_Data" sheetId="5" r:id="rId6"/>
  </sheets>
  <definedNames>
    <definedName name="_xlnm._FilterDatabase" localSheetId="1" hidden="1">Dates!$A$2:$AF$32</definedName>
    <definedName name="ages" localSheetId="0">ages!#REF!</definedName>
    <definedName name="ages" localSheetId="2">'ages betty'!#REF!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3" l="1"/>
  <c r="I14" i="3" s="1"/>
  <c r="E14" i="3"/>
  <c r="F13" i="3"/>
  <c r="I13" i="3" s="1"/>
  <c r="E13" i="3"/>
  <c r="F12" i="3"/>
  <c r="I12" i="3" s="1"/>
  <c r="E12" i="3"/>
  <c r="J12" i="3" l="1"/>
  <c r="L12" i="3" s="1"/>
  <c r="M12" i="3" s="1"/>
  <c r="J14" i="3"/>
  <c r="J13" i="3"/>
  <c r="E5" i="3"/>
  <c r="B10" i="4"/>
  <c r="C10" i="4"/>
  <c r="D10" i="4"/>
  <c r="H10" i="4" s="1"/>
  <c r="E10" i="4"/>
  <c r="I10" i="4" s="1"/>
  <c r="B11" i="4"/>
  <c r="C11" i="4"/>
  <c r="D11" i="4"/>
  <c r="H11" i="4" s="1"/>
  <c r="E11" i="4"/>
  <c r="I11" i="4" s="1"/>
  <c r="B12" i="4"/>
  <c r="C12" i="4"/>
  <c r="G12" i="4" s="1"/>
  <c r="D12" i="4"/>
  <c r="H12" i="4" s="1"/>
  <c r="E12" i="4"/>
  <c r="I12" i="4" s="1"/>
  <c r="B13" i="4"/>
  <c r="C13" i="4"/>
  <c r="D13" i="4"/>
  <c r="H13" i="4" s="1"/>
  <c r="E13" i="4"/>
  <c r="I13" i="4" s="1"/>
  <c r="B14" i="4"/>
  <c r="C14" i="4"/>
  <c r="D14" i="4"/>
  <c r="H14" i="4" s="1"/>
  <c r="E14" i="4"/>
  <c r="I14" i="4" s="1"/>
  <c r="B15" i="4"/>
  <c r="C15" i="4"/>
  <c r="D15" i="4"/>
  <c r="H15" i="4" s="1"/>
  <c r="E15" i="4"/>
  <c r="I15" i="4" s="1"/>
  <c r="B16" i="4"/>
  <c r="C16" i="4"/>
  <c r="G16" i="4" s="1"/>
  <c r="D16" i="4"/>
  <c r="H16" i="4" s="1"/>
  <c r="E16" i="4"/>
  <c r="I16" i="4" s="1"/>
  <c r="B17" i="4"/>
  <c r="C17" i="4"/>
  <c r="D17" i="4"/>
  <c r="H17" i="4" s="1"/>
  <c r="E17" i="4"/>
  <c r="I17" i="4" s="1"/>
  <c r="B18" i="4"/>
  <c r="C18" i="4"/>
  <c r="D18" i="4"/>
  <c r="H18" i="4" s="1"/>
  <c r="E18" i="4"/>
  <c r="I18" i="4" s="1"/>
  <c r="B19" i="4"/>
  <c r="C19" i="4"/>
  <c r="G19" i="4" s="1"/>
  <c r="D19" i="4"/>
  <c r="H19" i="4" s="1"/>
  <c r="E19" i="4"/>
  <c r="I19" i="4" s="1"/>
  <c r="B20" i="4"/>
  <c r="C20" i="4"/>
  <c r="D20" i="4"/>
  <c r="H20" i="4" s="1"/>
  <c r="E20" i="4"/>
  <c r="I20" i="4" s="1"/>
  <c r="B21" i="4"/>
  <c r="C21" i="4"/>
  <c r="D21" i="4"/>
  <c r="H21" i="4" s="1"/>
  <c r="E21" i="4"/>
  <c r="I21" i="4" s="1"/>
  <c r="B22" i="4"/>
  <c r="C22" i="4"/>
  <c r="D22" i="4"/>
  <c r="H22" i="4" s="1"/>
  <c r="E22" i="4"/>
  <c r="I22" i="4" s="1"/>
  <c r="B23" i="4"/>
  <c r="C23" i="4"/>
  <c r="D23" i="4"/>
  <c r="H23" i="4" s="1"/>
  <c r="E23" i="4"/>
  <c r="I23" i="4" s="1"/>
  <c r="B24" i="4"/>
  <c r="C24" i="4"/>
  <c r="D24" i="4"/>
  <c r="H24" i="4" s="1"/>
  <c r="E24" i="4"/>
  <c r="I24" i="4" s="1"/>
  <c r="B25" i="4"/>
  <c r="C25" i="4"/>
  <c r="D25" i="4"/>
  <c r="H25" i="4" s="1"/>
  <c r="E25" i="4"/>
  <c r="I25" i="4" s="1"/>
  <c r="B26" i="4"/>
  <c r="C26" i="4"/>
  <c r="D26" i="4"/>
  <c r="H26" i="4" s="1"/>
  <c r="E26" i="4"/>
  <c r="I26" i="4" s="1"/>
  <c r="B27" i="4"/>
  <c r="C27" i="4"/>
  <c r="D27" i="4"/>
  <c r="H27" i="4" s="1"/>
  <c r="E27" i="4"/>
  <c r="I27" i="4" s="1"/>
  <c r="B28" i="4"/>
  <c r="C28" i="4"/>
  <c r="D28" i="4"/>
  <c r="H28" i="4" s="1"/>
  <c r="E28" i="4"/>
  <c r="I28" i="4" s="1"/>
  <c r="B29" i="4"/>
  <c r="C29" i="4"/>
  <c r="D29" i="4"/>
  <c r="H29" i="4" s="1"/>
  <c r="E29" i="4"/>
  <c r="I29" i="4" s="1"/>
  <c r="B30" i="4"/>
  <c r="C30" i="4"/>
  <c r="D30" i="4"/>
  <c r="H30" i="4" s="1"/>
  <c r="E30" i="4"/>
  <c r="I30" i="4" s="1"/>
  <c r="B4" i="4"/>
  <c r="C4" i="4"/>
  <c r="G4" i="4" s="1"/>
  <c r="D4" i="4"/>
  <c r="H4" i="4" s="1"/>
  <c r="E4" i="4"/>
  <c r="I4" i="4" s="1"/>
  <c r="B5" i="4"/>
  <c r="C5" i="4"/>
  <c r="D5" i="4"/>
  <c r="H5" i="4" s="1"/>
  <c r="E5" i="4"/>
  <c r="I5" i="4" s="1"/>
  <c r="B6" i="4"/>
  <c r="C6" i="4"/>
  <c r="D6" i="4"/>
  <c r="H6" i="4" s="1"/>
  <c r="E6" i="4"/>
  <c r="I6" i="4" s="1"/>
  <c r="B7" i="4"/>
  <c r="C7" i="4"/>
  <c r="D7" i="4"/>
  <c r="H7" i="4" s="1"/>
  <c r="E7" i="4"/>
  <c r="I7" i="4" s="1"/>
  <c r="B8" i="4"/>
  <c r="C8" i="4"/>
  <c r="D8" i="4"/>
  <c r="H8" i="4" s="1"/>
  <c r="E8" i="4"/>
  <c r="I8" i="4" s="1"/>
  <c r="B9" i="4"/>
  <c r="C9" i="4"/>
  <c r="D9" i="4"/>
  <c r="H9" i="4" s="1"/>
  <c r="E9" i="4"/>
  <c r="I9" i="4" s="1"/>
  <c r="C3" i="4"/>
  <c r="E3" i="4"/>
  <c r="I3" i="4" s="1"/>
  <c r="D3" i="4"/>
  <c r="H3" i="4" s="1"/>
  <c r="H1" i="4" s="1"/>
  <c r="B3" i="4"/>
  <c r="O12" i="3" l="1"/>
  <c r="P12" i="3" s="1"/>
  <c r="L13" i="3"/>
  <c r="M13" i="3" s="1"/>
  <c r="L14" i="3"/>
  <c r="M14" i="3" s="1"/>
  <c r="O14" i="3" s="1"/>
  <c r="P14" i="3" s="1"/>
  <c r="I1" i="4"/>
  <c r="R7" i="4"/>
  <c r="R5" i="4"/>
  <c r="V3" i="4"/>
  <c r="R9" i="4"/>
  <c r="V4" i="4"/>
  <c r="R6" i="4"/>
  <c r="R3" i="4"/>
  <c r="R8" i="4"/>
  <c r="R4" i="4"/>
  <c r="F17" i="4"/>
  <c r="F27" i="4"/>
  <c r="F29" i="4"/>
  <c r="F21" i="4"/>
  <c r="F9" i="4"/>
  <c r="F8" i="4"/>
  <c r="F7" i="4"/>
  <c r="F25" i="4"/>
  <c r="F14" i="4"/>
  <c r="F10" i="4"/>
  <c r="F5" i="4"/>
  <c r="F28" i="4"/>
  <c r="F24" i="4"/>
  <c r="F18" i="4"/>
  <c r="F11" i="4"/>
  <c r="F3" i="4"/>
  <c r="F30" i="4"/>
  <c r="F22" i="4"/>
  <c r="G20" i="4"/>
  <c r="F15" i="4"/>
  <c r="G13" i="4"/>
  <c r="G5" i="4"/>
  <c r="F26" i="4"/>
  <c r="G25" i="4"/>
  <c r="F23" i="4"/>
  <c r="G22" i="4"/>
  <c r="F19" i="4"/>
  <c r="G18" i="4"/>
  <c r="F16" i="4"/>
  <c r="G15" i="4"/>
  <c r="F12" i="4"/>
  <c r="G11" i="4"/>
  <c r="F6" i="4"/>
  <c r="F4" i="4"/>
  <c r="G30" i="4"/>
  <c r="F20" i="4"/>
  <c r="F13" i="4"/>
  <c r="G24" i="4"/>
  <c r="G21" i="4"/>
  <c r="G17" i="4"/>
  <c r="G14" i="4"/>
  <c r="G10" i="4"/>
  <c r="G28" i="4"/>
  <c r="G26" i="4"/>
  <c r="G23" i="4"/>
  <c r="G29" i="4"/>
  <c r="G27" i="4"/>
  <c r="G8" i="4"/>
  <c r="G6" i="4"/>
  <c r="G9" i="4"/>
  <c r="G7" i="4"/>
  <c r="G3" i="4"/>
  <c r="F8" i="3"/>
  <c r="I8" i="3" s="1"/>
  <c r="F9" i="3"/>
  <c r="I9" i="3" s="1"/>
  <c r="F10" i="3"/>
  <c r="I10" i="3" s="1"/>
  <c r="F11" i="3"/>
  <c r="I11" i="3" s="1"/>
  <c r="F7" i="3"/>
  <c r="I7" i="3" s="1"/>
  <c r="E8" i="3"/>
  <c r="E9" i="3"/>
  <c r="E10" i="3"/>
  <c r="E11" i="3"/>
  <c r="E7" i="3"/>
  <c r="R12" i="3" l="1"/>
  <c r="S12" i="3" s="1"/>
  <c r="R14" i="3"/>
  <c r="S14" i="3" s="1"/>
  <c r="O13" i="3"/>
  <c r="P13" i="3" s="1"/>
  <c r="J9" i="3"/>
  <c r="J11" i="3"/>
  <c r="J7" i="3"/>
  <c r="J8" i="3"/>
  <c r="J10" i="3"/>
  <c r="V1" i="4"/>
  <c r="G1" i="4"/>
  <c r="O5" i="4" s="1"/>
  <c r="F1" i="4"/>
  <c r="L5" i="4" s="1"/>
  <c r="R1" i="4"/>
  <c r="L6" i="4"/>
  <c r="O4" i="4"/>
  <c r="O13" i="4"/>
  <c r="O6" i="4"/>
  <c r="O11" i="4"/>
  <c r="O3" i="4"/>
  <c r="L3" i="4"/>
  <c r="E20" i="2"/>
  <c r="E11" i="2"/>
  <c r="E6" i="2"/>
  <c r="C6" i="2" s="1"/>
  <c r="D6" i="2" s="1"/>
  <c r="E3" i="2"/>
  <c r="F6" i="2"/>
  <c r="E7" i="2" s="1"/>
  <c r="F7" i="2" s="1"/>
  <c r="E8" i="2" s="1"/>
  <c r="F8" i="2" s="1"/>
  <c r="E9" i="2" s="1"/>
  <c r="F9" i="2" s="1"/>
  <c r="E10" i="2" s="1"/>
  <c r="R13" i="3" l="1"/>
  <c r="S13" i="3" s="1"/>
  <c r="U12" i="3"/>
  <c r="V12" i="3" s="1"/>
  <c r="L10" i="3"/>
  <c r="M10" i="3" s="1"/>
  <c r="U14" i="3"/>
  <c r="V14" i="3" s="1"/>
  <c r="L11" i="3"/>
  <c r="M11" i="3" s="1"/>
  <c r="L9" i="3"/>
  <c r="M9" i="3" s="1"/>
  <c r="L8" i="3"/>
  <c r="M8" i="3" s="1"/>
  <c r="L7" i="3"/>
  <c r="M7" i="3" s="1"/>
  <c r="L11" i="4"/>
  <c r="O12" i="4"/>
  <c r="L7" i="4"/>
  <c r="L12" i="4"/>
  <c r="O7" i="4"/>
  <c r="O8" i="4"/>
  <c r="L14" i="4"/>
  <c r="L13" i="4"/>
  <c r="L8" i="4"/>
  <c r="O9" i="4"/>
  <c r="L9" i="4"/>
  <c r="L4" i="4"/>
  <c r="O10" i="4"/>
  <c r="L15" i="4"/>
  <c r="L10" i="4"/>
  <c r="C11" i="2"/>
  <c r="D11" i="2" s="1"/>
  <c r="F3" i="2"/>
  <c r="E4" i="2" s="1"/>
  <c r="F11" i="2"/>
  <c r="E12" i="2" s="1"/>
  <c r="C9" i="2"/>
  <c r="D9" i="2" s="1"/>
  <c r="C8" i="2"/>
  <c r="D8" i="2" s="1"/>
  <c r="C7" i="2"/>
  <c r="D7" i="2" s="1"/>
  <c r="F10" i="2"/>
  <c r="G10" i="2" s="1"/>
  <c r="C10" i="2"/>
  <c r="D10" i="2" s="1"/>
  <c r="G7" i="2"/>
  <c r="G6" i="2"/>
  <c r="G8" i="2"/>
  <c r="G11" i="2"/>
  <c r="G9" i="2"/>
  <c r="D2" i="1"/>
  <c r="E2" i="1" s="1"/>
  <c r="D3" i="1"/>
  <c r="E3" i="1" s="1"/>
  <c r="D4" i="1"/>
  <c r="F4" i="1" s="1"/>
  <c r="D5" i="1"/>
  <c r="E5" i="1"/>
  <c r="F5" i="1"/>
  <c r="D6" i="1"/>
  <c r="E6" i="1" s="1"/>
  <c r="F6" i="1"/>
  <c r="D7" i="1"/>
  <c r="E7" i="1" s="1"/>
  <c r="D8" i="1"/>
  <c r="F8" i="1" s="1"/>
  <c r="D9" i="1"/>
  <c r="F9" i="1" s="1"/>
  <c r="D10" i="1"/>
  <c r="E10" i="1" s="1"/>
  <c r="F10" i="1"/>
  <c r="D11" i="1"/>
  <c r="E11" i="1" s="1"/>
  <c r="D12" i="1"/>
  <c r="F12" i="1" s="1"/>
  <c r="D13" i="1"/>
  <c r="E13" i="1" s="1"/>
  <c r="D14" i="1"/>
  <c r="F14" i="1" s="1"/>
  <c r="D15" i="1"/>
  <c r="E15" i="1" s="1"/>
  <c r="D16" i="1"/>
  <c r="F16" i="1" s="1"/>
  <c r="E16" i="1"/>
  <c r="G16" i="1" s="1"/>
  <c r="D17" i="1"/>
  <c r="F17" i="1" s="1"/>
  <c r="E17" i="1"/>
  <c r="D18" i="1"/>
  <c r="E18" i="1" s="1"/>
  <c r="D19" i="1"/>
  <c r="E19" i="1" s="1"/>
  <c r="D20" i="1"/>
  <c r="F20" i="1" s="1"/>
  <c r="D21" i="1"/>
  <c r="F21" i="1" s="1"/>
  <c r="D22" i="1"/>
  <c r="E22" i="1"/>
  <c r="F22" i="1"/>
  <c r="D23" i="1"/>
  <c r="E23" i="1" s="1"/>
  <c r="D24" i="1"/>
  <c r="F24" i="1" s="1"/>
  <c r="E24" i="1"/>
  <c r="G24" i="1" s="1"/>
  <c r="D25" i="1"/>
  <c r="F25" i="1" s="1"/>
  <c r="D26" i="1"/>
  <c r="E26" i="1" s="1"/>
  <c r="F26" i="1"/>
  <c r="D27" i="1"/>
  <c r="E27" i="1" s="1"/>
  <c r="D28" i="1"/>
  <c r="F28" i="1" s="1"/>
  <c r="D29" i="1"/>
  <c r="E29" i="1" s="1"/>
  <c r="D30" i="1"/>
  <c r="F30" i="1" s="1"/>
  <c r="E30" i="1"/>
  <c r="G30" i="1" s="1"/>
  <c r="D31" i="1"/>
  <c r="E31" i="1" s="1"/>
  <c r="D1" i="1"/>
  <c r="E1" i="1" s="1"/>
  <c r="O10" i="3" l="1"/>
  <c r="P10" i="3" s="1"/>
  <c r="O9" i="3"/>
  <c r="P9" i="3" s="1"/>
  <c r="O11" i="3"/>
  <c r="P11" i="3" s="1"/>
  <c r="U13" i="3"/>
  <c r="V13" i="3" s="1"/>
  <c r="O8" i="3"/>
  <c r="P8" i="3" s="1"/>
  <c r="O7" i="3"/>
  <c r="P7" i="3" s="1"/>
  <c r="L1" i="4"/>
  <c r="O1" i="4"/>
  <c r="F1" i="1"/>
  <c r="E21" i="1"/>
  <c r="E28" i="1"/>
  <c r="G28" i="1" s="1"/>
  <c r="E9" i="1"/>
  <c r="G1" i="1"/>
  <c r="G22" i="1"/>
  <c r="E12" i="1"/>
  <c r="G12" i="1" s="1"/>
  <c r="E8" i="1"/>
  <c r="G8" i="1" s="1"/>
  <c r="G5" i="1"/>
  <c r="F4" i="2"/>
  <c r="E5" i="2" s="1"/>
  <c r="C4" i="2"/>
  <c r="D4" i="2" s="1"/>
  <c r="G26" i="1"/>
  <c r="G10" i="1"/>
  <c r="G21" i="1"/>
  <c r="G17" i="1"/>
  <c r="G6" i="1"/>
  <c r="G4" i="2"/>
  <c r="E25" i="1"/>
  <c r="E14" i="1"/>
  <c r="G14" i="1" s="1"/>
  <c r="G3" i="2"/>
  <c r="F12" i="2"/>
  <c r="C12" i="2" s="1"/>
  <c r="D12" i="2" s="1"/>
  <c r="C3" i="2"/>
  <c r="D3" i="2" s="1"/>
  <c r="F20" i="2"/>
  <c r="G25" i="1"/>
  <c r="G9" i="1"/>
  <c r="F18" i="1"/>
  <c r="G18" i="1" s="1"/>
  <c r="F13" i="1"/>
  <c r="G13" i="1" s="1"/>
  <c r="F2" i="1"/>
  <c r="G2" i="1" s="1"/>
  <c r="F29" i="1"/>
  <c r="G29" i="1" s="1"/>
  <c r="E20" i="1"/>
  <c r="G20" i="1" s="1"/>
  <c r="E4" i="1"/>
  <c r="G4" i="1" s="1"/>
  <c r="F31" i="1"/>
  <c r="G31" i="1" s="1"/>
  <c r="F27" i="1"/>
  <c r="G27" i="1" s="1"/>
  <c r="F23" i="1"/>
  <c r="G23" i="1" s="1"/>
  <c r="F19" i="1"/>
  <c r="G19" i="1" s="1"/>
  <c r="F15" i="1"/>
  <c r="G15" i="1" s="1"/>
  <c r="F11" i="1"/>
  <c r="G11" i="1" s="1"/>
  <c r="F7" i="1"/>
  <c r="G7" i="1" s="1"/>
  <c r="F3" i="1"/>
  <c r="G3" i="1" s="1"/>
  <c r="R11" i="3" l="1"/>
  <c r="S11" i="3" s="1"/>
  <c r="R9" i="3"/>
  <c r="S9" i="3" s="1"/>
  <c r="R10" i="3"/>
  <c r="S10" i="3" s="1"/>
  <c r="R8" i="3"/>
  <c r="S8" i="3" s="1"/>
  <c r="R7" i="3"/>
  <c r="S7" i="3" s="1"/>
  <c r="E21" i="2"/>
  <c r="C20" i="2"/>
  <c r="D20" i="2" s="1"/>
  <c r="F5" i="2"/>
  <c r="G5" i="2" s="1"/>
  <c r="C5" i="2"/>
  <c r="D5" i="2" s="1"/>
  <c r="E13" i="2"/>
  <c r="G12" i="2"/>
  <c r="F21" i="2"/>
  <c r="E22" i="2" s="1"/>
  <c r="G21" i="2"/>
  <c r="G20" i="2"/>
  <c r="U10" i="3" l="1"/>
  <c r="V10" i="3" s="1"/>
  <c r="U9" i="3"/>
  <c r="V9" i="3" s="1"/>
  <c r="U11" i="3"/>
  <c r="V11" i="3" s="1"/>
  <c r="U8" i="3"/>
  <c r="V8" i="3" s="1"/>
  <c r="U7" i="3"/>
  <c r="V7" i="3" s="1"/>
  <c r="F13" i="2"/>
  <c r="E14" i="2" s="1"/>
  <c r="C13" i="2"/>
  <c r="D13" i="2" s="1"/>
  <c r="G13" i="2"/>
  <c r="C21" i="2"/>
  <c r="D21" i="2" s="1"/>
  <c r="F22" i="2"/>
  <c r="E23" i="2" s="1"/>
  <c r="G22" i="2"/>
  <c r="F14" i="2" l="1"/>
  <c r="E15" i="2" s="1"/>
  <c r="C14" i="2"/>
  <c r="D14" i="2" s="1"/>
  <c r="G14" i="2"/>
  <c r="C22" i="2"/>
  <c r="D22" i="2" s="1"/>
  <c r="F23" i="2"/>
  <c r="E24" i="2" s="1"/>
  <c r="G23" i="2"/>
  <c r="F15" i="2" l="1"/>
  <c r="E16" i="2" s="1"/>
  <c r="C15" i="2"/>
  <c r="D15" i="2" s="1"/>
  <c r="G15" i="2"/>
  <c r="C23" i="2"/>
  <c r="D23" i="2" s="1"/>
  <c r="F24" i="2"/>
  <c r="E25" i="2" s="1"/>
  <c r="G24" i="2"/>
  <c r="F16" i="2" l="1"/>
  <c r="E17" i="2" s="1"/>
  <c r="C16" i="2"/>
  <c r="D16" i="2" s="1"/>
  <c r="G16" i="2"/>
  <c r="C24" i="2"/>
  <c r="D24" i="2" s="1"/>
  <c r="F25" i="2"/>
  <c r="E26" i="2" s="1"/>
  <c r="G25" i="2"/>
  <c r="F17" i="2" l="1"/>
  <c r="E18" i="2" s="1"/>
  <c r="C17" i="2"/>
  <c r="D17" i="2" s="1"/>
  <c r="G17" i="2"/>
  <c r="C25" i="2"/>
  <c r="D25" i="2" s="1"/>
  <c r="F26" i="2"/>
  <c r="E27" i="2" s="1"/>
  <c r="G26" i="2"/>
  <c r="F18" i="2" l="1"/>
  <c r="E19" i="2" s="1"/>
  <c r="C18" i="2"/>
  <c r="D18" i="2" s="1"/>
  <c r="G18" i="2"/>
  <c r="C26" i="2"/>
  <c r="D26" i="2" s="1"/>
  <c r="F27" i="2"/>
  <c r="E28" i="2" s="1"/>
  <c r="G27" i="2"/>
  <c r="F19" i="2" l="1"/>
  <c r="G19" i="2" s="1"/>
  <c r="C19" i="2"/>
  <c r="D19" i="2" s="1"/>
  <c r="C27" i="2"/>
  <c r="D27" i="2" s="1"/>
  <c r="F28" i="2"/>
  <c r="E29" i="2" s="1"/>
  <c r="G28" i="2"/>
  <c r="C28" i="2" l="1"/>
  <c r="D28" i="2" s="1"/>
  <c r="F29" i="2"/>
  <c r="E30" i="2" s="1"/>
  <c r="G29" i="2"/>
  <c r="C29" i="2" l="1"/>
  <c r="D29" i="2" s="1"/>
  <c r="F30" i="2"/>
  <c r="E31" i="2" s="1"/>
  <c r="G30" i="2"/>
  <c r="C30" i="2" l="1"/>
  <c r="D30" i="2" s="1"/>
  <c r="F31" i="2"/>
  <c r="E32" i="2" s="1"/>
  <c r="G31" i="2"/>
  <c r="C31" i="2" l="1"/>
  <c r="D31" i="2" s="1"/>
  <c r="F32" i="2"/>
  <c r="E33" i="2" s="1"/>
  <c r="G32" i="2"/>
  <c r="C32" i="2" l="1"/>
  <c r="D32" i="2" s="1"/>
  <c r="F33" i="2"/>
  <c r="E34" i="2" s="1"/>
  <c r="G33" i="2" l="1"/>
  <c r="C33" i="2"/>
  <c r="D33" i="2" s="1"/>
  <c r="F34" i="2"/>
  <c r="E35" i="2" s="1"/>
  <c r="G34" i="2" l="1"/>
  <c r="C34" i="2"/>
  <c r="D34" i="2" s="1"/>
  <c r="F35" i="2"/>
  <c r="E36" i="2" s="1"/>
  <c r="F36" i="2" l="1"/>
  <c r="G36" i="2" s="1"/>
  <c r="G35" i="2"/>
  <c r="C35" i="2"/>
  <c r="D35" i="2" s="1"/>
  <c r="F1" i="2"/>
  <c r="C1" i="2" l="1"/>
  <c r="D1" i="2" s="1"/>
  <c r="E2" i="2"/>
  <c r="G1" i="2"/>
  <c r="C36" i="2"/>
  <c r="D36" i="2" s="1"/>
  <c r="F2" i="2" l="1"/>
  <c r="G2" i="2"/>
  <c r="C2" i="2"/>
  <c r="D2" i="2" s="1"/>
</calcChain>
</file>

<file path=xl/comments1.xml><?xml version="1.0" encoding="utf-8"?>
<comments xmlns="http://schemas.openxmlformats.org/spreadsheetml/2006/main">
  <authors>
    <author>אמיר שקד</author>
  </authors>
  <commentList>
    <comment ref="K1" authorId="0" shapeId="0">
      <text>
        <r>
          <rPr>
            <b/>
            <sz val="9"/>
            <color indexed="81"/>
            <rFont val="Tahoma"/>
            <family val="2"/>
          </rPr>
          <t>כל הרשומות יעברו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ב - L1 יעופו כל הרשומות פרט ל - 1932
ב - L2 יעופו כל הרשומות פרט ל - 1932, 2003, 2004</t>
        </r>
      </text>
    </comment>
  </commentList>
</comments>
</file>

<file path=xl/comments2.xml><?xml version="1.0" encoding="utf-8"?>
<comments xmlns="http://schemas.openxmlformats.org/spreadsheetml/2006/main">
  <authors>
    <author>אמיר שקד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זו דוגמא פרמטריאלית
 שטובה לכל פונקציה ולא רק לגיל  - כולל עבור מספרים רציפים (-לא בדידים)</t>
        </r>
      </text>
    </comment>
    <comment ref="A4" authorId="0" shapeId="0">
      <text>
        <r>
          <rPr>
            <b/>
            <sz val="8"/>
            <color indexed="81"/>
            <rFont val="Tahoma"/>
            <charset val="177"/>
          </rPr>
          <t>כמה יחידות כל LEVEL , מאחד מה - LEVEL שתחתיו
 לשים את ערכי הדוגמא בעמודה D לטובת דוגמא</t>
        </r>
      </text>
    </comment>
  </commentList>
</comments>
</file>

<file path=xl/sharedStrings.xml><?xml version="1.0" encoding="utf-8"?>
<sst xmlns="http://schemas.openxmlformats.org/spreadsheetml/2006/main" count="218" uniqueCount="138">
  <si>
    <t>1-7</t>
  </si>
  <si>
    <t>1-15</t>
  </si>
  <si>
    <t>1-30</t>
  </si>
  <si>
    <t>1-60</t>
  </si>
  <si>
    <t>1-120</t>
  </si>
  <si>
    <t>8-15</t>
  </si>
  <si>
    <t>16-22</t>
  </si>
  <si>
    <t>16-30</t>
  </si>
  <si>
    <t>23-30</t>
  </si>
  <si>
    <t>31-37</t>
  </si>
  <si>
    <t>31-45</t>
  </si>
  <si>
    <t>31-60</t>
  </si>
  <si>
    <t>38-45</t>
  </si>
  <si>
    <t>46-52</t>
  </si>
  <si>
    <t>46-60</t>
  </si>
  <si>
    <t>53-60</t>
  </si>
  <si>
    <t>61-67</t>
  </si>
  <si>
    <t>61-75</t>
  </si>
  <si>
    <t>61-90</t>
  </si>
  <si>
    <t>61-120</t>
  </si>
  <si>
    <t>68-75</t>
  </si>
  <si>
    <t>76-82</t>
  </si>
  <si>
    <t>76-90</t>
  </si>
  <si>
    <t>83-90</t>
  </si>
  <si>
    <t>91-97</t>
  </si>
  <si>
    <t>91-105</t>
  </si>
  <si>
    <t>91-120</t>
  </si>
  <si>
    <t>98-105</t>
  </si>
  <si>
    <t>106-112</t>
  </si>
  <si>
    <t>106-120</t>
  </si>
  <si>
    <t>113-120</t>
  </si>
  <si>
    <t>Level1</t>
  </si>
  <si>
    <t>Level2</t>
  </si>
  <si>
    <t>Level3</t>
  </si>
  <si>
    <t>Level4</t>
  </si>
  <si>
    <t>Level5</t>
  </si>
  <si>
    <t>Interval</t>
  </si>
  <si>
    <t>Initial</t>
  </si>
  <si>
    <t>step</t>
  </si>
  <si>
    <t>Level(i)</t>
  </si>
  <si>
    <t>Ages</t>
  </si>
  <si>
    <t>Level2(m2, m2, d1,d1)</t>
  </si>
  <si>
    <t>Level1( d1,d1)</t>
  </si>
  <si>
    <t>year</t>
  </si>
  <si>
    <t>month</t>
  </si>
  <si>
    <t>1932-01-15</t>
  </si>
  <si>
    <t>Level3(yyy3,m2, m2, d1,d1)</t>
  </si>
  <si>
    <t>Level4(yy43,m2, m2, d1,d1)</t>
  </si>
  <si>
    <t>decade</t>
  </si>
  <si>
    <t>century</t>
  </si>
  <si>
    <t>1932-01-16</t>
  </si>
  <si>
    <t>1932-01-17</t>
  </si>
  <si>
    <t>1932-01-18</t>
  </si>
  <si>
    <t>1954-03-17</t>
  </si>
  <si>
    <t>1954-03-18</t>
  </si>
  <si>
    <t>1967-04-19</t>
  </si>
  <si>
    <t>1967-04-20</t>
  </si>
  <si>
    <t>1972-05-19</t>
  </si>
  <si>
    <t>1972-05-20</t>
  </si>
  <si>
    <t>1984-06-21</t>
  </si>
  <si>
    <t>1984-06-22</t>
  </si>
  <si>
    <t>1998-07-23</t>
  </si>
  <si>
    <t>1998-07-24</t>
  </si>
  <si>
    <t>2000-01-15</t>
  </si>
  <si>
    <t>2000-01-16</t>
  </si>
  <si>
    <t>2003-02-16</t>
  </si>
  <si>
    <t>2003-02-17</t>
  </si>
  <si>
    <t>2004-03-17</t>
  </si>
  <si>
    <t>2004-03-18</t>
  </si>
  <si>
    <t>2007-04-19</t>
  </si>
  <si>
    <t>2007-04-20</t>
  </si>
  <si>
    <t>2002-05-19</t>
  </si>
  <si>
    <t>2002-05-20</t>
  </si>
  <si>
    <t>2004-06-21</t>
  </si>
  <si>
    <t>2004-06-22</t>
  </si>
  <si>
    <t>2003-07-23</t>
  </si>
  <si>
    <t>2003-07-24</t>
  </si>
  <si>
    <t>1932-01-**</t>
  </si>
  <si>
    <t>1954-03-**</t>
  </si>
  <si>
    <t>1967-04-**</t>
  </si>
  <si>
    <t>1972-05-**</t>
  </si>
  <si>
    <t>1984-06-**</t>
  </si>
  <si>
    <t>1998-07-**</t>
  </si>
  <si>
    <t>2000-01-**</t>
  </si>
  <si>
    <t>2003-02-**</t>
  </si>
  <si>
    <t>2004-03-**</t>
  </si>
  <si>
    <t>2007-04-**</t>
  </si>
  <si>
    <t>2002-05-**</t>
  </si>
  <si>
    <t>2004-06-**</t>
  </si>
  <si>
    <t>2003-07-**</t>
  </si>
  <si>
    <t>1932-**-**</t>
  </si>
  <si>
    <t>1954-**-**</t>
  </si>
  <si>
    <t>1967-**-**</t>
  </si>
  <si>
    <t>1972-**-**</t>
  </si>
  <si>
    <t>1984-**-**</t>
  </si>
  <si>
    <t>1998-**-**</t>
  </si>
  <si>
    <t>2000-**-**</t>
  </si>
  <si>
    <t>2003-**-**</t>
  </si>
  <si>
    <t>2004-**-**</t>
  </si>
  <si>
    <t>2007-**-**</t>
  </si>
  <si>
    <t>2002-**-**</t>
  </si>
  <si>
    <t>193*-**-**</t>
  </si>
  <si>
    <t>195*-**-**</t>
  </si>
  <si>
    <t>196*-**-**</t>
  </si>
  <si>
    <t>197*-**-**</t>
  </si>
  <si>
    <t>198*-**-**</t>
  </si>
  <si>
    <t>199*-**-**</t>
  </si>
  <si>
    <t>200*-**-**</t>
  </si>
  <si>
    <t>19**-**-**</t>
  </si>
  <si>
    <t>20**-**-**</t>
  </si>
  <si>
    <t>Full Date</t>
  </si>
  <si>
    <t>k=2</t>
  </si>
  <si>
    <t>k=4</t>
  </si>
  <si>
    <t>Ages - Example</t>
  </si>
  <si>
    <t>ז</t>
  </si>
  <si>
    <t>Full_Date</t>
  </si>
  <si>
    <t>Gender</t>
  </si>
  <si>
    <t>נ</t>
  </si>
  <si>
    <t>טווח תחתון</t>
  </si>
  <si>
    <t>Initial+intreval*step^(i-1)</t>
  </si>
  <si>
    <t>טווח עליון</t>
  </si>
  <si>
    <t>ערכי דוגמא</t>
  </si>
  <si>
    <t>פרמטרים משתנים</t>
  </si>
  <si>
    <t>הטווח התחתון הוא include</t>
  </si>
  <si>
    <t>כלומר אם יגיע הערך 1 הוא ישוייך לטווח שבין 1-2 ולא 0-1</t>
  </si>
  <si>
    <t>k</t>
  </si>
  <si>
    <t>Date_Level</t>
  </si>
  <si>
    <t>7
(0-63.9999
64-127.9999)</t>
  </si>
  <si>
    <t>3-6</t>
  </si>
  <si>
    <t>8
(0-127.9999)</t>
  </si>
  <si>
    <t>7-8</t>
  </si>
  <si>
    <t>1
(*)</t>
  </si>
  <si>
    <t>0
(ז
נ)</t>
  </si>
  <si>
    <t>4
(19**-**-**
20**-**-**)</t>
  </si>
  <si>
    <t>Nuet_abs_level</t>
  </si>
  <si>
    <r>
      <t xml:space="preserve">דוגמאות </t>
    </r>
    <r>
      <rPr>
        <sz val="12"/>
        <color rgb="FFFF0000"/>
        <rFont val="Arial"/>
        <family val="2"/>
        <scheme val="minor"/>
      </rPr>
      <t>לעוד</t>
    </r>
    <r>
      <rPr>
        <sz val="12"/>
        <color theme="1"/>
        <rFont val="Arial"/>
        <family val="2"/>
        <scheme val="minor"/>
      </rPr>
      <t xml:space="preserve"> ערכים </t>
    </r>
  </si>
  <si>
    <r>
      <t xml:space="preserve">דוגמאות </t>
    </r>
    <r>
      <rPr>
        <sz val="12"/>
        <color rgb="FFFF0000"/>
        <rFont val="Arial"/>
        <family val="2"/>
        <scheme val="minor"/>
      </rPr>
      <t>לעוד</t>
    </r>
    <r>
      <rPr>
        <sz val="12"/>
        <color theme="1"/>
        <rFont val="Arial"/>
        <family val="2"/>
        <scheme val="minor"/>
      </rPr>
      <t xml:space="preserve"> ערכים</t>
    </r>
  </si>
  <si>
    <r>
      <t xml:space="preserve">דוגמאות </t>
    </r>
    <r>
      <rPr>
        <sz val="12"/>
        <color rgb="FFFF0000"/>
        <rFont val="Arial"/>
        <family val="2"/>
        <scheme val="minor"/>
      </rPr>
      <t>לעוד</t>
    </r>
    <r>
      <rPr>
        <sz val="12"/>
        <color theme="1"/>
        <rFont val="Arial"/>
        <family val="2"/>
        <scheme val="minor"/>
      </rPr>
      <t xml:space="preserve"> ערכים בכל level (</t>
    </r>
    <r>
      <rPr>
        <sz val="12"/>
        <color rgb="FF00B0F0"/>
        <rFont val="Arial"/>
        <family val="2"/>
        <scheme val="minor"/>
      </rPr>
      <t>הערכים רציפים בין הטווחים</t>
    </r>
    <r>
      <rPr>
        <sz val="12"/>
        <color theme="1"/>
        <rFont val="Arial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</si>
</sst>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color theme="1"/>
      <name val="Arial"/>
      <family val="2"/>
      <scheme val="minor"/>
    </font>
    <font>
      <sz val="12"/>
      <color rgb="FF444444"/>
      <name val="Monaco"/>
      <family val="2"/>
    </font>
    <font>
      <b/>
      <sz val="9"/>
      <color indexed="81"/>
      <name val="Tahoma"/>
      <family val="2"/>
    </font>
    <font>
      <sz val="12"/>
      <color rgb="FFFF0000"/>
      <name val="Arial"/>
      <family val="2"/>
      <scheme val="minor"/>
    </font>
    <font>
      <b/>
      <sz val="8"/>
      <color indexed="81"/>
      <name val="Tahoma"/>
      <charset val="177"/>
    </font>
    <font>
      <sz val="12"/>
      <color rgb="FF00B0F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0" xfId="0" applyFont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Border="1"/>
    <xf numFmtId="0" fontId="0" fillId="2" borderId="0" xfId="0" applyFill="1"/>
    <xf numFmtId="0" fontId="0" fillId="0" borderId="3" xfId="0" applyBorder="1"/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3" borderId="3" xfId="0" applyFill="1" applyBorder="1"/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/>
    <xf numFmtId="0" fontId="0" fillId="0" borderId="0" xfId="0" applyBorder="1" applyAlignment="1">
      <alignment horizontal="center" vertical="center"/>
    </xf>
    <xf numFmtId="0" fontId="0" fillId="6" borderId="0" xfId="0" applyFill="1"/>
    <xf numFmtId="0" fontId="0" fillId="2" borderId="0" xfId="0" applyFill="1" applyAlignment="1"/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49" fontId="0" fillId="0" borderId="3" xfId="0" applyNumberForma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zoomScale="120" zoomScaleNormal="120" workbookViewId="0">
      <selection activeCell="C3" sqref="C2:C3"/>
    </sheetView>
  </sheetViews>
  <sheetFormatPr defaultColWidth="11" defaultRowHeight="15"/>
  <cols>
    <col min="1" max="1" width="10.88671875" style="1"/>
    <col min="3" max="3" width="8.109375" style="1" bestFit="1" customWidth="1"/>
    <col min="4" max="4" width="9.109375" style="1" customWidth="1"/>
    <col min="5" max="5" width="8" style="1" customWidth="1"/>
    <col min="6" max="6" width="8.44140625" style="1" customWidth="1"/>
    <col min="7" max="7" width="10.88671875" style="1"/>
  </cols>
  <sheetData>
    <row r="1" spans="1:11" ht="15.75" thickBot="1">
      <c r="A1" s="9">
        <v>56</v>
      </c>
      <c r="C1" s="3" t="s">
        <v>4</v>
      </c>
      <c r="D1" s="4">
        <f>FIND("-",C1,1)</f>
        <v>2</v>
      </c>
      <c r="E1" s="4" t="str">
        <f>LEFT(C1,D1-1)</f>
        <v>1</v>
      </c>
      <c r="F1" s="4" t="str">
        <f>RIGHT(C1,LEN(C1)-D1)</f>
        <v>120</v>
      </c>
      <c r="G1" s="4">
        <f>COUNTIFS(A:A,"&gt;="&amp;E1,A:A,"&lt;="&amp;F1)</f>
        <v>32</v>
      </c>
      <c r="H1" s="5" t="s">
        <v>35</v>
      </c>
      <c r="K1">
        <v>3</v>
      </c>
    </row>
    <row r="2" spans="1:11">
      <c r="A2" s="9">
        <v>49</v>
      </c>
      <c r="C2" s="6" t="s">
        <v>3</v>
      </c>
      <c r="D2" s="7">
        <f t="shared" ref="D2:D31" si="0">FIND("-",C2,1)</f>
        <v>2</v>
      </c>
      <c r="E2" s="7" t="str">
        <f t="shared" ref="E2:E31" si="1">LEFT(C2,D2-1)</f>
        <v>1</v>
      </c>
      <c r="F2" s="7" t="str">
        <f t="shared" ref="F2:F31" si="2">RIGHT(C2,LEN(C2)-D2)</f>
        <v>60</v>
      </c>
      <c r="G2" s="7">
        <f t="shared" ref="G2:G31" si="3">COUNTIFS(A:A,"&gt;="&amp;E2,A:A,"&lt;="&amp;F2)</f>
        <v>16</v>
      </c>
      <c r="H2" s="8" t="s">
        <v>34</v>
      </c>
      <c r="K2">
        <v>7</v>
      </c>
    </row>
    <row r="3" spans="1:11" ht="15.75" thickBot="1">
      <c r="A3" s="9">
        <v>32</v>
      </c>
      <c r="C3" s="3" t="s">
        <v>19</v>
      </c>
      <c r="D3" s="4">
        <f t="shared" si="0"/>
        <v>3</v>
      </c>
      <c r="E3" s="4" t="str">
        <f t="shared" si="1"/>
        <v>61</v>
      </c>
      <c r="F3" s="4" t="str">
        <f t="shared" si="2"/>
        <v>120</v>
      </c>
      <c r="G3" s="4">
        <f t="shared" si="3"/>
        <v>16</v>
      </c>
      <c r="H3" s="5"/>
      <c r="K3">
        <v>11</v>
      </c>
    </row>
    <row r="4" spans="1:11">
      <c r="A4" s="9">
        <v>28</v>
      </c>
      <c r="C4" s="2" t="s">
        <v>2</v>
      </c>
      <c r="D4" s="1">
        <f t="shared" si="0"/>
        <v>2</v>
      </c>
      <c r="E4" s="1" t="str">
        <f t="shared" si="1"/>
        <v>1</v>
      </c>
      <c r="F4" s="1" t="str">
        <f t="shared" si="2"/>
        <v>30</v>
      </c>
      <c r="G4" s="1">
        <f t="shared" si="3"/>
        <v>8</v>
      </c>
      <c r="H4" t="s">
        <v>33</v>
      </c>
      <c r="K4">
        <v>12</v>
      </c>
    </row>
    <row r="5" spans="1:11">
      <c r="A5" s="9">
        <v>88</v>
      </c>
      <c r="C5" s="2" t="s">
        <v>11</v>
      </c>
      <c r="D5" s="1">
        <f t="shared" si="0"/>
        <v>3</v>
      </c>
      <c r="E5" s="1" t="str">
        <f t="shared" si="1"/>
        <v>31</v>
      </c>
      <c r="F5" s="1" t="str">
        <f t="shared" si="2"/>
        <v>60</v>
      </c>
      <c r="G5" s="1">
        <f t="shared" si="3"/>
        <v>8</v>
      </c>
      <c r="K5">
        <v>16</v>
      </c>
    </row>
    <row r="6" spans="1:11">
      <c r="A6" s="9">
        <v>90</v>
      </c>
      <c r="C6" s="2" t="s">
        <v>18</v>
      </c>
      <c r="D6" s="1">
        <f t="shared" si="0"/>
        <v>3</v>
      </c>
      <c r="E6" s="1" t="str">
        <f t="shared" si="1"/>
        <v>61</v>
      </c>
      <c r="F6" s="1" t="str">
        <f t="shared" si="2"/>
        <v>90</v>
      </c>
      <c r="G6" s="1">
        <f t="shared" si="3"/>
        <v>8</v>
      </c>
      <c r="K6">
        <v>17</v>
      </c>
    </row>
    <row r="7" spans="1:11" ht="15.75" thickBot="1">
      <c r="A7" s="9">
        <v>7</v>
      </c>
      <c r="C7" s="3" t="s">
        <v>26</v>
      </c>
      <c r="D7" s="4">
        <f t="shared" si="0"/>
        <v>3</v>
      </c>
      <c r="E7" s="4" t="str">
        <f t="shared" si="1"/>
        <v>91</v>
      </c>
      <c r="F7" s="4" t="str">
        <f t="shared" si="2"/>
        <v>120</v>
      </c>
      <c r="G7" s="4">
        <f t="shared" si="3"/>
        <v>8</v>
      </c>
      <c r="H7" s="5"/>
      <c r="K7">
        <v>28</v>
      </c>
    </row>
    <row r="8" spans="1:11">
      <c r="A8" s="9">
        <v>3</v>
      </c>
      <c r="C8" s="2" t="s">
        <v>1</v>
      </c>
      <c r="D8" s="1">
        <f t="shared" si="0"/>
        <v>2</v>
      </c>
      <c r="E8" s="1" t="str">
        <f t="shared" si="1"/>
        <v>1</v>
      </c>
      <c r="F8" s="1" t="str">
        <f t="shared" si="2"/>
        <v>15</v>
      </c>
      <c r="G8" s="1">
        <f t="shared" si="3"/>
        <v>4</v>
      </c>
      <c r="H8" t="s">
        <v>32</v>
      </c>
      <c r="K8">
        <v>29</v>
      </c>
    </row>
    <row r="9" spans="1:11">
      <c r="A9" s="9">
        <v>16</v>
      </c>
      <c r="C9" s="2" t="s">
        <v>7</v>
      </c>
      <c r="D9" s="1">
        <f t="shared" si="0"/>
        <v>3</v>
      </c>
      <c r="E9" s="1" t="str">
        <f t="shared" si="1"/>
        <v>16</v>
      </c>
      <c r="F9" s="1" t="str">
        <f t="shared" si="2"/>
        <v>30</v>
      </c>
      <c r="G9" s="1">
        <f t="shared" si="3"/>
        <v>4</v>
      </c>
      <c r="K9">
        <v>32</v>
      </c>
    </row>
    <row r="10" spans="1:11">
      <c r="A10" s="9">
        <v>11</v>
      </c>
      <c r="C10" s="2" t="s">
        <v>10</v>
      </c>
      <c r="D10" s="1">
        <f t="shared" si="0"/>
        <v>3</v>
      </c>
      <c r="E10" s="1" t="str">
        <f t="shared" si="1"/>
        <v>31</v>
      </c>
      <c r="F10" s="1" t="str">
        <f t="shared" si="2"/>
        <v>45</v>
      </c>
      <c r="G10" s="1">
        <f t="shared" si="3"/>
        <v>4</v>
      </c>
      <c r="K10">
        <v>32</v>
      </c>
    </row>
    <row r="11" spans="1:11">
      <c r="A11" s="9">
        <v>17</v>
      </c>
      <c r="C11" s="2" t="s">
        <v>14</v>
      </c>
      <c r="D11" s="1">
        <f t="shared" si="0"/>
        <v>3</v>
      </c>
      <c r="E11" s="1" t="str">
        <f t="shared" si="1"/>
        <v>46</v>
      </c>
      <c r="F11" s="1" t="str">
        <f t="shared" si="2"/>
        <v>60</v>
      </c>
      <c r="G11" s="1">
        <f t="shared" si="3"/>
        <v>4</v>
      </c>
      <c r="K11">
        <v>39</v>
      </c>
    </row>
    <row r="12" spans="1:11">
      <c r="A12" s="9">
        <v>12</v>
      </c>
      <c r="C12" s="2" t="s">
        <v>17</v>
      </c>
      <c r="D12" s="1">
        <f t="shared" si="0"/>
        <v>3</v>
      </c>
      <c r="E12" s="1" t="str">
        <f t="shared" si="1"/>
        <v>61</v>
      </c>
      <c r="F12" s="1" t="str">
        <f t="shared" si="2"/>
        <v>75</v>
      </c>
      <c r="G12" s="1">
        <f t="shared" si="3"/>
        <v>4</v>
      </c>
      <c r="K12">
        <v>44</v>
      </c>
    </row>
    <row r="13" spans="1:11">
      <c r="A13" s="9">
        <v>32</v>
      </c>
      <c r="C13" s="2" t="s">
        <v>22</v>
      </c>
      <c r="D13" s="1">
        <f t="shared" si="0"/>
        <v>3</v>
      </c>
      <c r="E13" s="1" t="str">
        <f t="shared" si="1"/>
        <v>76</v>
      </c>
      <c r="F13" s="1" t="str">
        <f t="shared" si="2"/>
        <v>90</v>
      </c>
      <c r="G13" s="1">
        <f t="shared" si="3"/>
        <v>4</v>
      </c>
      <c r="K13">
        <v>49</v>
      </c>
    </row>
    <row r="14" spans="1:11">
      <c r="A14" s="9">
        <v>29</v>
      </c>
      <c r="C14" s="2" t="s">
        <v>25</v>
      </c>
      <c r="D14" s="1">
        <f t="shared" si="0"/>
        <v>3</v>
      </c>
      <c r="E14" s="1" t="str">
        <f t="shared" si="1"/>
        <v>91</v>
      </c>
      <c r="F14" s="1" t="str">
        <f t="shared" si="2"/>
        <v>105</v>
      </c>
      <c r="G14" s="1">
        <f t="shared" si="3"/>
        <v>4</v>
      </c>
      <c r="K14">
        <v>51</v>
      </c>
    </row>
    <row r="15" spans="1:11" ht="15.75" thickBot="1">
      <c r="A15" s="9">
        <v>51</v>
      </c>
      <c r="C15" s="3" t="s">
        <v>29</v>
      </c>
      <c r="D15" s="4">
        <f t="shared" si="0"/>
        <v>4</v>
      </c>
      <c r="E15" s="4" t="str">
        <f t="shared" si="1"/>
        <v>106</v>
      </c>
      <c r="F15" s="4" t="str">
        <f t="shared" si="2"/>
        <v>120</v>
      </c>
      <c r="G15" s="4">
        <f t="shared" si="3"/>
        <v>4</v>
      </c>
      <c r="H15" s="5"/>
      <c r="K15">
        <v>56</v>
      </c>
    </row>
    <row r="16" spans="1:11">
      <c r="A16" s="9">
        <v>60</v>
      </c>
      <c r="C16" s="2" t="s">
        <v>0</v>
      </c>
      <c r="D16" s="1">
        <f t="shared" si="0"/>
        <v>2</v>
      </c>
      <c r="E16" s="1" t="str">
        <f t="shared" si="1"/>
        <v>1</v>
      </c>
      <c r="F16" s="1" t="str">
        <f t="shared" si="2"/>
        <v>7</v>
      </c>
      <c r="G16" s="1">
        <f t="shared" si="3"/>
        <v>2</v>
      </c>
      <c r="H16" t="s">
        <v>31</v>
      </c>
      <c r="K16">
        <v>60</v>
      </c>
    </row>
    <row r="17" spans="1:11">
      <c r="A17" s="9">
        <v>77</v>
      </c>
      <c r="C17" s="2" t="s">
        <v>5</v>
      </c>
      <c r="D17" s="1">
        <f t="shared" si="0"/>
        <v>2</v>
      </c>
      <c r="E17" s="1" t="str">
        <f t="shared" si="1"/>
        <v>8</v>
      </c>
      <c r="F17" s="1" t="str">
        <f t="shared" si="2"/>
        <v>15</v>
      </c>
      <c r="G17" s="1">
        <f t="shared" si="3"/>
        <v>2</v>
      </c>
      <c r="K17">
        <v>63</v>
      </c>
    </row>
    <row r="18" spans="1:11">
      <c r="A18" s="9">
        <v>81</v>
      </c>
      <c r="C18" s="2" t="s">
        <v>6</v>
      </c>
      <c r="D18" s="1">
        <f t="shared" si="0"/>
        <v>3</v>
      </c>
      <c r="E18" s="1" t="str">
        <f t="shared" si="1"/>
        <v>16</v>
      </c>
      <c r="F18" s="1" t="str">
        <f t="shared" si="2"/>
        <v>22</v>
      </c>
      <c r="G18" s="1">
        <f t="shared" si="3"/>
        <v>2</v>
      </c>
      <c r="K18">
        <v>63</v>
      </c>
    </row>
    <row r="19" spans="1:11">
      <c r="A19" s="9">
        <v>39</v>
      </c>
      <c r="C19" s="2" t="s">
        <v>8</v>
      </c>
      <c r="D19" s="1">
        <f t="shared" si="0"/>
        <v>3</v>
      </c>
      <c r="E19" s="1" t="str">
        <f t="shared" si="1"/>
        <v>23</v>
      </c>
      <c r="F19" s="1" t="str">
        <f t="shared" si="2"/>
        <v>30</v>
      </c>
      <c r="G19" s="1">
        <f t="shared" si="3"/>
        <v>2</v>
      </c>
      <c r="K19">
        <v>70</v>
      </c>
    </row>
    <row r="20" spans="1:11">
      <c r="A20" s="9">
        <v>44</v>
      </c>
      <c r="C20" s="2" t="s">
        <v>9</v>
      </c>
      <c r="D20" s="1">
        <f t="shared" si="0"/>
        <v>3</v>
      </c>
      <c r="E20" s="1" t="str">
        <f t="shared" si="1"/>
        <v>31</v>
      </c>
      <c r="F20" s="1" t="str">
        <f t="shared" si="2"/>
        <v>37</v>
      </c>
      <c r="G20" s="1">
        <f t="shared" si="3"/>
        <v>2</v>
      </c>
      <c r="K20">
        <v>71</v>
      </c>
    </row>
    <row r="21" spans="1:11">
      <c r="A21" s="9">
        <v>63</v>
      </c>
      <c r="C21" s="2" t="s">
        <v>12</v>
      </c>
      <c r="D21" s="1">
        <f t="shared" si="0"/>
        <v>3</v>
      </c>
      <c r="E21" s="1" t="str">
        <f t="shared" si="1"/>
        <v>38</v>
      </c>
      <c r="F21" s="1" t="str">
        <f t="shared" si="2"/>
        <v>45</v>
      </c>
      <c r="G21" s="1">
        <f t="shared" si="3"/>
        <v>2</v>
      </c>
      <c r="K21">
        <v>77</v>
      </c>
    </row>
    <row r="22" spans="1:11">
      <c r="A22" s="9">
        <v>63</v>
      </c>
      <c r="C22" s="2" t="s">
        <v>13</v>
      </c>
      <c r="D22" s="1">
        <f t="shared" si="0"/>
        <v>3</v>
      </c>
      <c r="E22" s="1" t="str">
        <f t="shared" si="1"/>
        <v>46</v>
      </c>
      <c r="F22" s="1" t="str">
        <f t="shared" si="2"/>
        <v>52</v>
      </c>
      <c r="G22" s="1">
        <f t="shared" si="3"/>
        <v>2</v>
      </c>
      <c r="K22">
        <v>81</v>
      </c>
    </row>
    <row r="23" spans="1:11">
      <c r="A23" s="9">
        <v>70</v>
      </c>
      <c r="C23" s="2" t="s">
        <v>15</v>
      </c>
      <c r="D23" s="1">
        <f t="shared" si="0"/>
        <v>3</v>
      </c>
      <c r="E23" s="1" t="str">
        <f t="shared" si="1"/>
        <v>53</v>
      </c>
      <c r="F23" s="1" t="str">
        <f t="shared" si="2"/>
        <v>60</v>
      </c>
      <c r="G23" s="1">
        <f t="shared" si="3"/>
        <v>2</v>
      </c>
      <c r="K23">
        <v>88</v>
      </c>
    </row>
    <row r="24" spans="1:11">
      <c r="A24" s="9">
        <v>71</v>
      </c>
      <c r="C24" s="2" t="s">
        <v>16</v>
      </c>
      <c r="D24" s="1">
        <f t="shared" si="0"/>
        <v>3</v>
      </c>
      <c r="E24" s="1" t="str">
        <f t="shared" si="1"/>
        <v>61</v>
      </c>
      <c r="F24" s="1" t="str">
        <f t="shared" si="2"/>
        <v>67</v>
      </c>
      <c r="G24" s="1">
        <f t="shared" si="3"/>
        <v>2</v>
      </c>
      <c r="K24">
        <v>90</v>
      </c>
    </row>
    <row r="25" spans="1:11">
      <c r="A25" s="1">
        <v>93</v>
      </c>
      <c r="C25" s="2" t="s">
        <v>20</v>
      </c>
      <c r="D25" s="1">
        <f t="shared" si="0"/>
        <v>3</v>
      </c>
      <c r="E25" s="1" t="str">
        <f t="shared" si="1"/>
        <v>68</v>
      </c>
      <c r="F25" s="1" t="str">
        <f t="shared" si="2"/>
        <v>75</v>
      </c>
      <c r="G25" s="1">
        <f t="shared" si="3"/>
        <v>2</v>
      </c>
      <c r="K25">
        <v>93</v>
      </c>
    </row>
    <row r="26" spans="1:11">
      <c r="A26" s="1">
        <v>94</v>
      </c>
      <c r="C26" s="2" t="s">
        <v>21</v>
      </c>
      <c r="D26" s="1">
        <f t="shared" si="0"/>
        <v>3</v>
      </c>
      <c r="E26" s="1" t="str">
        <f t="shared" si="1"/>
        <v>76</v>
      </c>
      <c r="F26" s="1" t="str">
        <f t="shared" si="2"/>
        <v>82</v>
      </c>
      <c r="G26" s="1">
        <f t="shared" si="3"/>
        <v>2</v>
      </c>
      <c r="K26">
        <v>94</v>
      </c>
    </row>
    <row r="27" spans="1:11">
      <c r="A27" s="1">
        <v>100</v>
      </c>
      <c r="C27" s="2" t="s">
        <v>23</v>
      </c>
      <c r="D27" s="1">
        <f t="shared" si="0"/>
        <v>3</v>
      </c>
      <c r="E27" s="1" t="str">
        <f t="shared" si="1"/>
        <v>83</v>
      </c>
      <c r="F27" s="1" t="str">
        <f t="shared" si="2"/>
        <v>90</v>
      </c>
      <c r="G27" s="1">
        <f t="shared" si="3"/>
        <v>2</v>
      </c>
      <c r="K27">
        <v>100</v>
      </c>
    </row>
    <row r="28" spans="1:11">
      <c r="A28" s="1">
        <v>102</v>
      </c>
      <c r="C28" s="2" t="s">
        <v>24</v>
      </c>
      <c r="D28" s="1">
        <f t="shared" si="0"/>
        <v>3</v>
      </c>
      <c r="E28" s="1" t="str">
        <f t="shared" si="1"/>
        <v>91</v>
      </c>
      <c r="F28" s="1" t="str">
        <f t="shared" si="2"/>
        <v>97</v>
      </c>
      <c r="G28" s="1">
        <f t="shared" si="3"/>
        <v>2</v>
      </c>
      <c r="K28">
        <v>102</v>
      </c>
    </row>
    <row r="29" spans="1:11">
      <c r="A29" s="1">
        <v>107</v>
      </c>
      <c r="C29" s="2" t="s">
        <v>27</v>
      </c>
      <c r="D29" s="1">
        <f t="shared" si="0"/>
        <v>3</v>
      </c>
      <c r="E29" s="1" t="str">
        <f t="shared" si="1"/>
        <v>98</v>
      </c>
      <c r="F29" s="1" t="str">
        <f t="shared" si="2"/>
        <v>105</v>
      </c>
      <c r="G29" s="1">
        <f t="shared" si="3"/>
        <v>2</v>
      </c>
      <c r="K29">
        <v>107</v>
      </c>
    </row>
    <row r="30" spans="1:11">
      <c r="A30" s="1">
        <v>110</v>
      </c>
      <c r="C30" s="2" t="s">
        <v>28</v>
      </c>
      <c r="D30" s="1">
        <f t="shared" si="0"/>
        <v>4</v>
      </c>
      <c r="E30" s="1" t="str">
        <f t="shared" si="1"/>
        <v>106</v>
      </c>
      <c r="F30" s="1" t="str">
        <f t="shared" si="2"/>
        <v>112</v>
      </c>
      <c r="G30" s="1">
        <f t="shared" si="3"/>
        <v>2</v>
      </c>
      <c r="K30">
        <v>110</v>
      </c>
    </row>
    <row r="31" spans="1:11" ht="15.75" thickBot="1">
      <c r="A31" s="1">
        <v>114</v>
      </c>
      <c r="C31" s="3" t="s">
        <v>30</v>
      </c>
      <c r="D31" s="4">
        <f t="shared" si="0"/>
        <v>4</v>
      </c>
      <c r="E31" s="4" t="str">
        <f t="shared" si="1"/>
        <v>113</v>
      </c>
      <c r="F31" s="4" t="str">
        <f t="shared" si="2"/>
        <v>120</v>
      </c>
      <c r="G31" s="4">
        <f t="shared" si="3"/>
        <v>2</v>
      </c>
      <c r="H31" s="5"/>
      <c r="K31">
        <v>114</v>
      </c>
    </row>
    <row r="32" spans="1:11">
      <c r="A32" s="1">
        <v>116</v>
      </c>
      <c r="K32">
        <v>116</v>
      </c>
    </row>
  </sheetData>
  <sortState ref="K1:K32">
    <sortCondition ref="K1:K32"/>
  </sortState>
  <pageMargins left="0.7" right="0.7" top="0.75" bottom="0.75" header="0.3" footer="0.3"/>
  <pageSetup paperSize="9" orientation="portrait" horizontalDpi="0" verticalDpi="0"/>
  <ignoredErrors>
    <ignoredError sqref="C17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0"/>
  <sheetViews>
    <sheetView workbookViewId="0">
      <selection activeCell="E2" sqref="E2"/>
    </sheetView>
  </sheetViews>
  <sheetFormatPr defaultColWidth="11" defaultRowHeight="15"/>
  <cols>
    <col min="1" max="5" width="11" style="16"/>
    <col min="6" max="6" width="11" style="21"/>
    <col min="7" max="7" width="11" style="24"/>
    <col min="8" max="8" width="11" style="25"/>
    <col min="9" max="9" width="12" style="27" customWidth="1"/>
  </cols>
  <sheetData>
    <row r="1" spans="1:22">
      <c r="E1" s="28"/>
      <c r="F1">
        <f t="shared" ref="F1:H1" si="0">+SUBTOTAL(3,F3:F150)</f>
        <v>28</v>
      </c>
      <c r="G1">
        <f t="shared" si="0"/>
        <v>28</v>
      </c>
      <c r="H1">
        <f t="shared" si="0"/>
        <v>28</v>
      </c>
      <c r="I1">
        <f>+SUBTOTAL(3,I3:I150)</f>
        <v>28</v>
      </c>
      <c r="K1" s="29" t="s">
        <v>111</v>
      </c>
      <c r="L1">
        <f>+SUBTOTAL(9,L3:L15)</f>
        <v>28</v>
      </c>
      <c r="N1" s="29" t="s">
        <v>112</v>
      </c>
      <c r="O1">
        <f>+SUBTOTAL(9,O3:O15)</f>
        <v>28</v>
      </c>
      <c r="R1">
        <f>+SUBTOTAL(9,R3:R15)</f>
        <v>28</v>
      </c>
      <c r="V1">
        <f>+SUBTOTAL(9,V3:V15)</f>
        <v>28</v>
      </c>
    </row>
    <row r="2" spans="1:22" s="18" customFormat="1" ht="45">
      <c r="A2" s="19" t="s">
        <v>110</v>
      </c>
      <c r="B2" s="19" t="s">
        <v>44</v>
      </c>
      <c r="C2" s="19" t="s">
        <v>43</v>
      </c>
      <c r="D2" s="19" t="s">
        <v>48</v>
      </c>
      <c r="E2" s="18" t="s">
        <v>49</v>
      </c>
      <c r="F2" s="20" t="s">
        <v>42</v>
      </c>
      <c r="G2" s="23" t="s">
        <v>41</v>
      </c>
      <c r="H2" s="22" t="s">
        <v>46</v>
      </c>
      <c r="I2" s="26" t="s">
        <v>47</v>
      </c>
      <c r="L2" s="20" t="s">
        <v>31</v>
      </c>
      <c r="O2" s="23" t="s">
        <v>32</v>
      </c>
      <c r="R2" s="22" t="s">
        <v>33</v>
      </c>
      <c r="V2" s="26" t="s">
        <v>34</v>
      </c>
    </row>
    <row r="3" spans="1:22">
      <c r="A3" s="17" t="s">
        <v>45</v>
      </c>
      <c r="B3" s="16" t="str">
        <f>+MID(A3,6,2)</f>
        <v>01</v>
      </c>
      <c r="C3" s="16" t="str">
        <f>+MID(A3,1,4)</f>
        <v>1932</v>
      </c>
      <c r="D3" s="16" t="str">
        <f>+MID(A3,1,3)</f>
        <v>193</v>
      </c>
      <c r="E3" s="16" t="str">
        <f>+MID(A3,1,2)</f>
        <v>19</v>
      </c>
      <c r="F3" s="21" t="str">
        <f>+CONCATENATE(C3,"-",B3,"-**")</f>
        <v>1932-01-**</v>
      </c>
      <c r="G3" s="24" t="str">
        <f>+CONCATENATE(C3,"-**-**")</f>
        <v>1932-**-**</v>
      </c>
      <c r="H3" s="25" t="str">
        <f>+CONCATENATE(D3,"*-**-**")</f>
        <v>193*-**-**</v>
      </c>
      <c r="I3" s="27" t="str">
        <f>+CONCATENATE(E3,"**-**-**")</f>
        <v>19**-**-**</v>
      </c>
      <c r="K3" t="s">
        <v>77</v>
      </c>
      <c r="L3" s="1">
        <f t="shared" ref="L3:L15" si="1">COUNTIFS($F:$F,"="&amp;K3)</f>
        <v>4</v>
      </c>
      <c r="N3" t="s">
        <v>90</v>
      </c>
      <c r="O3" s="1">
        <f t="shared" ref="O3:O13" si="2">COUNTIFS($G:$G,"="&amp;N3)</f>
        <v>4</v>
      </c>
      <c r="Q3" t="s">
        <v>101</v>
      </c>
      <c r="R3" s="1">
        <f t="shared" ref="R3:R9" si="3">COUNTIFS($H:$H,"="&amp;Q3)</f>
        <v>4</v>
      </c>
      <c r="U3" t="s">
        <v>108</v>
      </c>
      <c r="V3" s="1">
        <f>COUNTIFS($I:$I,"="&amp;U3)</f>
        <v>14</v>
      </c>
    </row>
    <row r="4" spans="1:22">
      <c r="A4" s="17" t="s">
        <v>50</v>
      </c>
      <c r="B4" s="16" t="str">
        <f t="shared" ref="B4:B16" si="4">+MID(A4,6,2)</f>
        <v>01</v>
      </c>
      <c r="C4" s="16" t="str">
        <f t="shared" ref="C4:C10" si="5">+MID(A4,1,4)</f>
        <v>1932</v>
      </c>
      <c r="D4" s="16" t="str">
        <f t="shared" ref="D4:D10" si="6">+MID(A4,1,3)</f>
        <v>193</v>
      </c>
      <c r="E4" s="16" t="str">
        <f t="shared" ref="E4:E10" si="7">+MID(A4,1,2)</f>
        <v>19</v>
      </c>
      <c r="F4" s="21" t="str">
        <f t="shared" ref="F4:F10" si="8">+CONCATENATE(C4,"-",B4,"-**")</f>
        <v>1932-01-**</v>
      </c>
      <c r="G4" s="24" t="str">
        <f t="shared" ref="G4:G10" si="9">+CONCATENATE(C4,"-**-**")</f>
        <v>1932-**-**</v>
      </c>
      <c r="H4" s="25" t="str">
        <f t="shared" ref="H4:H10" si="10">+CONCATENATE(D4,"*-**-**")</f>
        <v>193*-**-**</v>
      </c>
      <c r="I4" s="27" t="str">
        <f t="shared" ref="I4:I30" si="11">+CONCATENATE(E4,"**-**-**")</f>
        <v>19**-**-**</v>
      </c>
      <c r="K4" t="s">
        <v>78</v>
      </c>
      <c r="L4" s="1">
        <f t="shared" si="1"/>
        <v>2</v>
      </c>
      <c r="N4" t="s">
        <v>91</v>
      </c>
      <c r="O4" s="1">
        <f t="shared" si="2"/>
        <v>2</v>
      </c>
      <c r="Q4" t="s">
        <v>102</v>
      </c>
      <c r="R4" s="1">
        <f t="shared" si="3"/>
        <v>2</v>
      </c>
      <c r="U4" t="s">
        <v>109</v>
      </c>
      <c r="V4" s="1">
        <f>COUNTIFS($I:$I,"="&amp;U4)</f>
        <v>14</v>
      </c>
    </row>
    <row r="5" spans="1:22">
      <c r="A5" s="17" t="s">
        <v>51</v>
      </c>
      <c r="B5" s="16" t="str">
        <f t="shared" si="4"/>
        <v>01</v>
      </c>
      <c r="C5" s="16" t="str">
        <f t="shared" si="5"/>
        <v>1932</v>
      </c>
      <c r="D5" s="16" t="str">
        <f t="shared" si="6"/>
        <v>193</v>
      </c>
      <c r="E5" s="16" t="str">
        <f t="shared" si="7"/>
        <v>19</v>
      </c>
      <c r="F5" s="21" t="str">
        <f t="shared" si="8"/>
        <v>1932-01-**</v>
      </c>
      <c r="G5" s="24" t="str">
        <f t="shared" si="9"/>
        <v>1932-**-**</v>
      </c>
      <c r="H5" s="25" t="str">
        <f t="shared" si="10"/>
        <v>193*-**-**</v>
      </c>
      <c r="I5" s="27" t="str">
        <f t="shared" si="11"/>
        <v>19**-**-**</v>
      </c>
      <c r="K5" t="s">
        <v>79</v>
      </c>
      <c r="L5" s="1">
        <f t="shared" si="1"/>
        <v>2</v>
      </c>
      <c r="N5" t="s">
        <v>92</v>
      </c>
      <c r="O5" s="1">
        <f t="shared" si="2"/>
        <v>2</v>
      </c>
      <c r="Q5" t="s">
        <v>103</v>
      </c>
      <c r="R5" s="1">
        <f t="shared" si="3"/>
        <v>2</v>
      </c>
      <c r="U5" s="1"/>
    </row>
    <row r="6" spans="1:22">
      <c r="A6" s="17" t="s">
        <v>52</v>
      </c>
      <c r="B6" s="16" t="str">
        <f t="shared" si="4"/>
        <v>01</v>
      </c>
      <c r="C6" s="16" t="str">
        <f t="shared" si="5"/>
        <v>1932</v>
      </c>
      <c r="D6" s="16" t="str">
        <f t="shared" si="6"/>
        <v>193</v>
      </c>
      <c r="E6" s="16" t="str">
        <f t="shared" si="7"/>
        <v>19</v>
      </c>
      <c r="F6" s="21" t="str">
        <f t="shared" si="8"/>
        <v>1932-01-**</v>
      </c>
      <c r="G6" s="24" t="str">
        <f t="shared" si="9"/>
        <v>1932-**-**</v>
      </c>
      <c r="H6" s="25" t="str">
        <f t="shared" si="10"/>
        <v>193*-**-**</v>
      </c>
      <c r="I6" s="27" t="str">
        <f t="shared" si="11"/>
        <v>19**-**-**</v>
      </c>
      <c r="K6" t="s">
        <v>80</v>
      </c>
      <c r="L6" s="1">
        <f t="shared" si="1"/>
        <v>2</v>
      </c>
      <c r="N6" t="s">
        <v>93</v>
      </c>
      <c r="O6" s="1">
        <f t="shared" si="2"/>
        <v>2</v>
      </c>
      <c r="Q6" t="s">
        <v>104</v>
      </c>
      <c r="R6" s="1">
        <f t="shared" si="3"/>
        <v>2</v>
      </c>
      <c r="U6" s="1"/>
    </row>
    <row r="7" spans="1:22">
      <c r="A7" s="17" t="s">
        <v>53</v>
      </c>
      <c r="B7" s="16" t="str">
        <f t="shared" si="4"/>
        <v>03</v>
      </c>
      <c r="C7" s="16" t="str">
        <f t="shared" si="5"/>
        <v>1954</v>
      </c>
      <c r="D7" s="16" t="str">
        <f t="shared" si="6"/>
        <v>195</v>
      </c>
      <c r="E7" s="16" t="str">
        <f t="shared" si="7"/>
        <v>19</v>
      </c>
      <c r="F7" s="21" t="str">
        <f t="shared" si="8"/>
        <v>1954-03-**</v>
      </c>
      <c r="G7" s="24" t="str">
        <f t="shared" si="9"/>
        <v>1954-**-**</v>
      </c>
      <c r="H7" s="25" t="str">
        <f t="shared" si="10"/>
        <v>195*-**-**</v>
      </c>
      <c r="I7" s="27" t="str">
        <f t="shared" si="11"/>
        <v>19**-**-**</v>
      </c>
      <c r="K7" t="s">
        <v>81</v>
      </c>
      <c r="L7" s="1">
        <f t="shared" si="1"/>
        <v>2</v>
      </c>
      <c r="N7" t="s">
        <v>94</v>
      </c>
      <c r="O7" s="1">
        <f t="shared" si="2"/>
        <v>2</v>
      </c>
      <c r="Q7" t="s">
        <v>105</v>
      </c>
      <c r="R7" s="1">
        <f t="shared" si="3"/>
        <v>2</v>
      </c>
      <c r="U7" s="1"/>
    </row>
    <row r="8" spans="1:22">
      <c r="A8" s="17" t="s">
        <v>54</v>
      </c>
      <c r="B8" s="16" t="str">
        <f t="shared" si="4"/>
        <v>03</v>
      </c>
      <c r="C8" s="16" t="str">
        <f t="shared" si="5"/>
        <v>1954</v>
      </c>
      <c r="D8" s="16" t="str">
        <f t="shared" si="6"/>
        <v>195</v>
      </c>
      <c r="E8" s="16" t="str">
        <f t="shared" si="7"/>
        <v>19</v>
      </c>
      <c r="F8" s="21" t="str">
        <f t="shared" si="8"/>
        <v>1954-03-**</v>
      </c>
      <c r="G8" s="24" t="str">
        <f t="shared" si="9"/>
        <v>1954-**-**</v>
      </c>
      <c r="H8" s="25" t="str">
        <f t="shared" si="10"/>
        <v>195*-**-**</v>
      </c>
      <c r="I8" s="27" t="str">
        <f t="shared" si="11"/>
        <v>19**-**-**</v>
      </c>
      <c r="K8" t="s">
        <v>82</v>
      </c>
      <c r="L8" s="1">
        <f t="shared" si="1"/>
        <v>2</v>
      </c>
      <c r="N8" t="s">
        <v>95</v>
      </c>
      <c r="O8" s="1">
        <f t="shared" si="2"/>
        <v>2</v>
      </c>
      <c r="Q8" t="s">
        <v>106</v>
      </c>
      <c r="R8" s="1">
        <f t="shared" si="3"/>
        <v>2</v>
      </c>
      <c r="U8" s="1"/>
    </row>
    <row r="9" spans="1:22">
      <c r="A9" s="17" t="s">
        <v>55</v>
      </c>
      <c r="B9" s="16" t="str">
        <f t="shared" si="4"/>
        <v>04</v>
      </c>
      <c r="C9" s="16" t="str">
        <f t="shared" si="5"/>
        <v>1967</v>
      </c>
      <c r="D9" s="16" t="str">
        <f t="shared" si="6"/>
        <v>196</v>
      </c>
      <c r="E9" s="16" t="str">
        <f t="shared" si="7"/>
        <v>19</v>
      </c>
      <c r="F9" s="21" t="str">
        <f t="shared" si="8"/>
        <v>1967-04-**</v>
      </c>
      <c r="G9" s="24" t="str">
        <f t="shared" si="9"/>
        <v>1967-**-**</v>
      </c>
      <c r="H9" s="25" t="str">
        <f t="shared" si="10"/>
        <v>196*-**-**</v>
      </c>
      <c r="I9" s="27" t="str">
        <f t="shared" si="11"/>
        <v>19**-**-**</v>
      </c>
      <c r="K9" t="s">
        <v>83</v>
      </c>
      <c r="L9" s="1">
        <f t="shared" si="1"/>
        <v>2</v>
      </c>
      <c r="N9" t="s">
        <v>96</v>
      </c>
      <c r="O9" s="1">
        <f t="shared" si="2"/>
        <v>2</v>
      </c>
      <c r="Q9" t="s">
        <v>107</v>
      </c>
      <c r="R9" s="1">
        <f t="shared" si="3"/>
        <v>14</v>
      </c>
      <c r="U9" s="1"/>
    </row>
    <row r="10" spans="1:22">
      <c r="A10" s="17" t="s">
        <v>56</v>
      </c>
      <c r="B10" s="16" t="str">
        <f t="shared" si="4"/>
        <v>04</v>
      </c>
      <c r="C10" s="16" t="str">
        <f t="shared" si="5"/>
        <v>1967</v>
      </c>
      <c r="D10" s="16" t="str">
        <f t="shared" si="6"/>
        <v>196</v>
      </c>
      <c r="E10" s="16" t="str">
        <f t="shared" si="7"/>
        <v>19</v>
      </c>
      <c r="F10" s="21" t="str">
        <f t="shared" si="8"/>
        <v>1967-04-**</v>
      </c>
      <c r="G10" s="24" t="str">
        <f t="shared" si="9"/>
        <v>1967-**-**</v>
      </c>
      <c r="H10" s="25" t="str">
        <f t="shared" si="10"/>
        <v>196*-**-**</v>
      </c>
      <c r="I10" s="27" t="str">
        <f t="shared" si="11"/>
        <v>19**-**-**</v>
      </c>
      <c r="K10" t="s">
        <v>84</v>
      </c>
      <c r="L10" s="1">
        <f t="shared" si="1"/>
        <v>2</v>
      </c>
      <c r="N10" t="s">
        <v>97</v>
      </c>
      <c r="O10" s="1">
        <f t="shared" si="2"/>
        <v>4</v>
      </c>
      <c r="Q10" s="1"/>
      <c r="U10" s="1"/>
    </row>
    <row r="11" spans="1:22">
      <c r="A11" s="17" t="s">
        <v>57</v>
      </c>
      <c r="B11" s="16" t="str">
        <f t="shared" si="4"/>
        <v>05</v>
      </c>
      <c r="C11" s="16" t="str">
        <f t="shared" ref="C11:C16" si="12">+MID(A11,1,4)</f>
        <v>1972</v>
      </c>
      <c r="D11" s="16" t="str">
        <f t="shared" ref="D11:D16" si="13">+MID(A11,1,3)</f>
        <v>197</v>
      </c>
      <c r="E11" s="16" t="str">
        <f t="shared" ref="E11:E16" si="14">+MID(A11,1,2)</f>
        <v>19</v>
      </c>
      <c r="F11" s="21" t="str">
        <f t="shared" ref="F11:F16" si="15">+CONCATENATE(C11,"-",B11,"-**")</f>
        <v>1972-05-**</v>
      </c>
      <c r="G11" s="24" t="str">
        <f t="shared" ref="G11:G16" si="16">+CONCATENATE(C11,"-**-**")</f>
        <v>1972-**-**</v>
      </c>
      <c r="H11" s="25" t="str">
        <f t="shared" ref="H11:H16" si="17">+CONCATENATE(D11,"*-**-**")</f>
        <v>197*-**-**</v>
      </c>
      <c r="I11" s="27" t="str">
        <f t="shared" si="11"/>
        <v>19**-**-**</v>
      </c>
      <c r="K11" t="s">
        <v>85</v>
      </c>
      <c r="L11" s="1">
        <f t="shared" si="1"/>
        <v>2</v>
      </c>
      <c r="N11" t="s">
        <v>98</v>
      </c>
      <c r="O11" s="1">
        <f t="shared" si="2"/>
        <v>4</v>
      </c>
      <c r="Q11" s="1"/>
      <c r="U11" s="1"/>
    </row>
    <row r="12" spans="1:22">
      <c r="A12" s="17" t="s">
        <v>58</v>
      </c>
      <c r="B12" s="16" t="str">
        <f t="shared" si="4"/>
        <v>05</v>
      </c>
      <c r="C12" s="16" t="str">
        <f t="shared" si="12"/>
        <v>1972</v>
      </c>
      <c r="D12" s="16" t="str">
        <f t="shared" si="13"/>
        <v>197</v>
      </c>
      <c r="E12" s="16" t="str">
        <f t="shared" si="14"/>
        <v>19</v>
      </c>
      <c r="F12" s="21" t="str">
        <f t="shared" si="15"/>
        <v>1972-05-**</v>
      </c>
      <c r="G12" s="24" t="str">
        <f t="shared" si="16"/>
        <v>1972-**-**</v>
      </c>
      <c r="H12" s="25" t="str">
        <f t="shared" si="17"/>
        <v>197*-**-**</v>
      </c>
      <c r="I12" s="27" t="str">
        <f t="shared" si="11"/>
        <v>19**-**-**</v>
      </c>
      <c r="K12" t="s">
        <v>86</v>
      </c>
      <c r="L12" s="1">
        <f t="shared" si="1"/>
        <v>2</v>
      </c>
      <c r="N12" t="s">
        <v>99</v>
      </c>
      <c r="O12" s="1">
        <f t="shared" si="2"/>
        <v>2</v>
      </c>
      <c r="Q12" s="1"/>
      <c r="U12" s="1"/>
    </row>
    <row r="13" spans="1:22">
      <c r="A13" s="17" t="s">
        <v>59</v>
      </c>
      <c r="B13" s="16" t="str">
        <f t="shared" si="4"/>
        <v>06</v>
      </c>
      <c r="C13" s="16" t="str">
        <f t="shared" si="12"/>
        <v>1984</v>
      </c>
      <c r="D13" s="16" t="str">
        <f t="shared" si="13"/>
        <v>198</v>
      </c>
      <c r="E13" s="16" t="str">
        <f t="shared" si="14"/>
        <v>19</v>
      </c>
      <c r="F13" s="21" t="str">
        <f t="shared" si="15"/>
        <v>1984-06-**</v>
      </c>
      <c r="G13" s="24" t="str">
        <f t="shared" si="16"/>
        <v>1984-**-**</v>
      </c>
      <c r="H13" s="25" t="str">
        <f t="shared" si="17"/>
        <v>198*-**-**</v>
      </c>
      <c r="I13" s="27" t="str">
        <f t="shared" si="11"/>
        <v>19**-**-**</v>
      </c>
      <c r="K13" t="s">
        <v>87</v>
      </c>
      <c r="L13" s="1">
        <f t="shared" si="1"/>
        <v>2</v>
      </c>
      <c r="N13" t="s">
        <v>100</v>
      </c>
      <c r="O13" s="1">
        <f t="shared" si="2"/>
        <v>2</v>
      </c>
      <c r="Q13" s="1"/>
      <c r="U13" s="1"/>
    </row>
    <row r="14" spans="1:22">
      <c r="A14" s="17" t="s">
        <v>60</v>
      </c>
      <c r="B14" s="16" t="str">
        <f t="shared" si="4"/>
        <v>06</v>
      </c>
      <c r="C14" s="16" t="str">
        <f t="shared" si="12"/>
        <v>1984</v>
      </c>
      <c r="D14" s="16" t="str">
        <f t="shared" si="13"/>
        <v>198</v>
      </c>
      <c r="E14" s="16" t="str">
        <f t="shared" si="14"/>
        <v>19</v>
      </c>
      <c r="F14" s="21" t="str">
        <f t="shared" si="15"/>
        <v>1984-06-**</v>
      </c>
      <c r="G14" s="24" t="str">
        <f t="shared" si="16"/>
        <v>1984-**-**</v>
      </c>
      <c r="H14" s="25" t="str">
        <f t="shared" si="17"/>
        <v>198*-**-**</v>
      </c>
      <c r="I14" s="27" t="str">
        <f t="shared" si="11"/>
        <v>19**-**-**</v>
      </c>
      <c r="K14" t="s">
        <v>88</v>
      </c>
      <c r="L14" s="1">
        <f t="shared" si="1"/>
        <v>2</v>
      </c>
      <c r="N14" s="1"/>
      <c r="Q14" s="1"/>
      <c r="U14" s="1"/>
    </row>
    <row r="15" spans="1:22">
      <c r="A15" s="17" t="s">
        <v>61</v>
      </c>
      <c r="B15" s="16" t="str">
        <f t="shared" si="4"/>
        <v>07</v>
      </c>
      <c r="C15" s="16" t="str">
        <f t="shared" si="12"/>
        <v>1998</v>
      </c>
      <c r="D15" s="16" t="str">
        <f t="shared" si="13"/>
        <v>199</v>
      </c>
      <c r="E15" s="16" t="str">
        <f t="shared" si="14"/>
        <v>19</v>
      </c>
      <c r="F15" s="21" t="str">
        <f t="shared" si="15"/>
        <v>1998-07-**</v>
      </c>
      <c r="G15" s="24" t="str">
        <f t="shared" si="16"/>
        <v>1998-**-**</v>
      </c>
      <c r="H15" s="25" t="str">
        <f t="shared" si="17"/>
        <v>199*-**-**</v>
      </c>
      <c r="I15" s="27" t="str">
        <f t="shared" si="11"/>
        <v>19**-**-**</v>
      </c>
      <c r="K15" t="s">
        <v>89</v>
      </c>
      <c r="L15" s="1">
        <f t="shared" si="1"/>
        <v>2</v>
      </c>
      <c r="N15" s="1"/>
      <c r="Q15" s="1"/>
      <c r="U15" s="1"/>
    </row>
    <row r="16" spans="1:22">
      <c r="A16" s="17" t="s">
        <v>62</v>
      </c>
      <c r="B16" s="16" t="str">
        <f t="shared" si="4"/>
        <v>07</v>
      </c>
      <c r="C16" s="16" t="str">
        <f t="shared" si="12"/>
        <v>1998</v>
      </c>
      <c r="D16" s="16" t="str">
        <f t="shared" si="13"/>
        <v>199</v>
      </c>
      <c r="E16" s="16" t="str">
        <f t="shared" si="14"/>
        <v>19</v>
      </c>
      <c r="F16" s="21" t="str">
        <f t="shared" si="15"/>
        <v>1998-07-**</v>
      </c>
      <c r="G16" s="24" t="str">
        <f t="shared" si="16"/>
        <v>1998-**-**</v>
      </c>
      <c r="H16" s="25" t="str">
        <f t="shared" si="17"/>
        <v>199*-**-**</v>
      </c>
      <c r="I16" s="27" t="str">
        <f t="shared" si="11"/>
        <v>19**-**-**</v>
      </c>
      <c r="Q16" s="1"/>
      <c r="U16" s="1"/>
    </row>
    <row r="17" spans="1:9">
      <c r="A17" s="17" t="s">
        <v>63</v>
      </c>
      <c r="B17" s="16" t="str">
        <f t="shared" ref="B17:B30" si="18">+MID(A17,6,2)</f>
        <v>01</v>
      </c>
      <c r="C17" s="16" t="str">
        <f t="shared" ref="C17:C30" si="19">+MID(A17,1,4)</f>
        <v>2000</v>
      </c>
      <c r="D17" s="16" t="str">
        <f t="shared" ref="D17:D30" si="20">+MID(A17,1,3)</f>
        <v>200</v>
      </c>
      <c r="E17" s="16" t="str">
        <f t="shared" ref="E17:E30" si="21">+MID(A17,1,2)</f>
        <v>20</v>
      </c>
      <c r="F17" s="21" t="str">
        <f t="shared" ref="F17:F30" si="22">+CONCATENATE(C17,"-",B17,"-**")</f>
        <v>2000-01-**</v>
      </c>
      <c r="G17" s="24" t="str">
        <f t="shared" ref="G17:G30" si="23">+CONCATENATE(C17,"-**-**")</f>
        <v>2000-**-**</v>
      </c>
      <c r="H17" s="25" t="str">
        <f t="shared" ref="H17:H30" si="24">+CONCATENATE(D17,"*-**-**")</f>
        <v>200*-**-**</v>
      </c>
      <c r="I17" s="27" t="str">
        <f t="shared" si="11"/>
        <v>20**-**-**</v>
      </c>
    </row>
    <row r="18" spans="1:9">
      <c r="A18" s="17" t="s">
        <v>64</v>
      </c>
      <c r="B18" s="16" t="str">
        <f t="shared" si="18"/>
        <v>01</v>
      </c>
      <c r="C18" s="16" t="str">
        <f t="shared" si="19"/>
        <v>2000</v>
      </c>
      <c r="D18" s="16" t="str">
        <f t="shared" si="20"/>
        <v>200</v>
      </c>
      <c r="E18" s="16" t="str">
        <f t="shared" si="21"/>
        <v>20</v>
      </c>
      <c r="F18" s="21" t="str">
        <f t="shared" si="22"/>
        <v>2000-01-**</v>
      </c>
      <c r="G18" s="24" t="str">
        <f t="shared" si="23"/>
        <v>2000-**-**</v>
      </c>
      <c r="H18" s="25" t="str">
        <f t="shared" si="24"/>
        <v>200*-**-**</v>
      </c>
      <c r="I18" s="27" t="str">
        <f t="shared" si="11"/>
        <v>20**-**-**</v>
      </c>
    </row>
    <row r="19" spans="1:9">
      <c r="A19" s="17" t="s">
        <v>65</v>
      </c>
      <c r="B19" s="16" t="str">
        <f t="shared" si="18"/>
        <v>02</v>
      </c>
      <c r="C19" s="16" t="str">
        <f t="shared" si="19"/>
        <v>2003</v>
      </c>
      <c r="D19" s="16" t="str">
        <f t="shared" si="20"/>
        <v>200</v>
      </c>
      <c r="E19" s="16" t="str">
        <f t="shared" si="21"/>
        <v>20</v>
      </c>
      <c r="F19" s="21" t="str">
        <f t="shared" si="22"/>
        <v>2003-02-**</v>
      </c>
      <c r="G19" s="24" t="str">
        <f t="shared" si="23"/>
        <v>2003-**-**</v>
      </c>
      <c r="H19" s="25" t="str">
        <f t="shared" si="24"/>
        <v>200*-**-**</v>
      </c>
      <c r="I19" s="27" t="str">
        <f t="shared" si="11"/>
        <v>20**-**-**</v>
      </c>
    </row>
    <row r="20" spans="1:9">
      <c r="A20" s="17" t="s">
        <v>66</v>
      </c>
      <c r="B20" s="16" t="str">
        <f t="shared" si="18"/>
        <v>02</v>
      </c>
      <c r="C20" s="16" t="str">
        <f t="shared" si="19"/>
        <v>2003</v>
      </c>
      <c r="D20" s="16" t="str">
        <f t="shared" si="20"/>
        <v>200</v>
      </c>
      <c r="E20" s="16" t="str">
        <f t="shared" si="21"/>
        <v>20</v>
      </c>
      <c r="F20" s="21" t="str">
        <f t="shared" si="22"/>
        <v>2003-02-**</v>
      </c>
      <c r="G20" s="24" t="str">
        <f t="shared" si="23"/>
        <v>2003-**-**</v>
      </c>
      <c r="H20" s="25" t="str">
        <f t="shared" si="24"/>
        <v>200*-**-**</v>
      </c>
      <c r="I20" s="27" t="str">
        <f t="shared" si="11"/>
        <v>20**-**-**</v>
      </c>
    </row>
    <row r="21" spans="1:9">
      <c r="A21" s="17" t="s">
        <v>67</v>
      </c>
      <c r="B21" s="16" t="str">
        <f t="shared" si="18"/>
        <v>03</v>
      </c>
      <c r="C21" s="16" t="str">
        <f t="shared" si="19"/>
        <v>2004</v>
      </c>
      <c r="D21" s="16" t="str">
        <f t="shared" si="20"/>
        <v>200</v>
      </c>
      <c r="E21" s="16" t="str">
        <f t="shared" si="21"/>
        <v>20</v>
      </c>
      <c r="F21" s="21" t="str">
        <f t="shared" si="22"/>
        <v>2004-03-**</v>
      </c>
      <c r="G21" s="24" t="str">
        <f t="shared" si="23"/>
        <v>2004-**-**</v>
      </c>
      <c r="H21" s="25" t="str">
        <f t="shared" si="24"/>
        <v>200*-**-**</v>
      </c>
      <c r="I21" s="27" t="str">
        <f t="shared" si="11"/>
        <v>20**-**-**</v>
      </c>
    </row>
    <row r="22" spans="1:9">
      <c r="A22" s="17" t="s">
        <v>68</v>
      </c>
      <c r="B22" s="16" t="str">
        <f t="shared" si="18"/>
        <v>03</v>
      </c>
      <c r="C22" s="16" t="str">
        <f t="shared" si="19"/>
        <v>2004</v>
      </c>
      <c r="D22" s="16" t="str">
        <f t="shared" si="20"/>
        <v>200</v>
      </c>
      <c r="E22" s="16" t="str">
        <f t="shared" si="21"/>
        <v>20</v>
      </c>
      <c r="F22" s="21" t="str">
        <f t="shared" si="22"/>
        <v>2004-03-**</v>
      </c>
      <c r="G22" s="24" t="str">
        <f t="shared" si="23"/>
        <v>2004-**-**</v>
      </c>
      <c r="H22" s="25" t="str">
        <f t="shared" si="24"/>
        <v>200*-**-**</v>
      </c>
      <c r="I22" s="27" t="str">
        <f t="shared" si="11"/>
        <v>20**-**-**</v>
      </c>
    </row>
    <row r="23" spans="1:9">
      <c r="A23" s="17" t="s">
        <v>69</v>
      </c>
      <c r="B23" s="16" t="str">
        <f t="shared" si="18"/>
        <v>04</v>
      </c>
      <c r="C23" s="16" t="str">
        <f t="shared" si="19"/>
        <v>2007</v>
      </c>
      <c r="D23" s="16" t="str">
        <f t="shared" si="20"/>
        <v>200</v>
      </c>
      <c r="E23" s="16" t="str">
        <f t="shared" si="21"/>
        <v>20</v>
      </c>
      <c r="F23" s="21" t="str">
        <f t="shared" si="22"/>
        <v>2007-04-**</v>
      </c>
      <c r="G23" s="24" t="str">
        <f t="shared" si="23"/>
        <v>2007-**-**</v>
      </c>
      <c r="H23" s="25" t="str">
        <f t="shared" si="24"/>
        <v>200*-**-**</v>
      </c>
      <c r="I23" s="27" t="str">
        <f t="shared" si="11"/>
        <v>20**-**-**</v>
      </c>
    </row>
    <row r="24" spans="1:9">
      <c r="A24" s="17" t="s">
        <v>70</v>
      </c>
      <c r="B24" s="16" t="str">
        <f t="shared" si="18"/>
        <v>04</v>
      </c>
      <c r="C24" s="16" t="str">
        <f t="shared" si="19"/>
        <v>2007</v>
      </c>
      <c r="D24" s="16" t="str">
        <f t="shared" si="20"/>
        <v>200</v>
      </c>
      <c r="E24" s="16" t="str">
        <f t="shared" si="21"/>
        <v>20</v>
      </c>
      <c r="F24" s="21" t="str">
        <f t="shared" si="22"/>
        <v>2007-04-**</v>
      </c>
      <c r="G24" s="24" t="str">
        <f t="shared" si="23"/>
        <v>2007-**-**</v>
      </c>
      <c r="H24" s="25" t="str">
        <f t="shared" si="24"/>
        <v>200*-**-**</v>
      </c>
      <c r="I24" s="27" t="str">
        <f t="shared" si="11"/>
        <v>20**-**-**</v>
      </c>
    </row>
    <row r="25" spans="1:9">
      <c r="A25" s="17" t="s">
        <v>71</v>
      </c>
      <c r="B25" s="16" t="str">
        <f t="shared" si="18"/>
        <v>05</v>
      </c>
      <c r="C25" s="16" t="str">
        <f t="shared" si="19"/>
        <v>2002</v>
      </c>
      <c r="D25" s="16" t="str">
        <f t="shared" si="20"/>
        <v>200</v>
      </c>
      <c r="E25" s="16" t="str">
        <f t="shared" si="21"/>
        <v>20</v>
      </c>
      <c r="F25" s="21" t="str">
        <f t="shared" si="22"/>
        <v>2002-05-**</v>
      </c>
      <c r="G25" s="24" t="str">
        <f t="shared" si="23"/>
        <v>2002-**-**</v>
      </c>
      <c r="H25" s="25" t="str">
        <f t="shared" si="24"/>
        <v>200*-**-**</v>
      </c>
      <c r="I25" s="27" t="str">
        <f t="shared" si="11"/>
        <v>20**-**-**</v>
      </c>
    </row>
    <row r="26" spans="1:9">
      <c r="A26" s="17" t="s">
        <v>72</v>
      </c>
      <c r="B26" s="16" t="str">
        <f t="shared" si="18"/>
        <v>05</v>
      </c>
      <c r="C26" s="16" t="str">
        <f t="shared" si="19"/>
        <v>2002</v>
      </c>
      <c r="D26" s="16" t="str">
        <f t="shared" si="20"/>
        <v>200</v>
      </c>
      <c r="E26" s="16" t="str">
        <f t="shared" si="21"/>
        <v>20</v>
      </c>
      <c r="F26" s="21" t="str">
        <f t="shared" si="22"/>
        <v>2002-05-**</v>
      </c>
      <c r="G26" s="24" t="str">
        <f t="shared" si="23"/>
        <v>2002-**-**</v>
      </c>
      <c r="H26" s="25" t="str">
        <f t="shared" si="24"/>
        <v>200*-**-**</v>
      </c>
      <c r="I26" s="27" t="str">
        <f t="shared" si="11"/>
        <v>20**-**-**</v>
      </c>
    </row>
    <row r="27" spans="1:9">
      <c r="A27" s="17" t="s">
        <v>73</v>
      </c>
      <c r="B27" s="16" t="str">
        <f t="shared" si="18"/>
        <v>06</v>
      </c>
      <c r="C27" s="16" t="str">
        <f t="shared" si="19"/>
        <v>2004</v>
      </c>
      <c r="D27" s="16" t="str">
        <f t="shared" si="20"/>
        <v>200</v>
      </c>
      <c r="E27" s="16" t="str">
        <f t="shared" si="21"/>
        <v>20</v>
      </c>
      <c r="F27" s="21" t="str">
        <f t="shared" si="22"/>
        <v>2004-06-**</v>
      </c>
      <c r="G27" s="24" t="str">
        <f t="shared" si="23"/>
        <v>2004-**-**</v>
      </c>
      <c r="H27" s="25" t="str">
        <f t="shared" si="24"/>
        <v>200*-**-**</v>
      </c>
      <c r="I27" s="27" t="str">
        <f t="shared" si="11"/>
        <v>20**-**-**</v>
      </c>
    </row>
    <row r="28" spans="1:9">
      <c r="A28" s="17" t="s">
        <v>74</v>
      </c>
      <c r="B28" s="16" t="str">
        <f t="shared" si="18"/>
        <v>06</v>
      </c>
      <c r="C28" s="16" t="str">
        <f t="shared" si="19"/>
        <v>2004</v>
      </c>
      <c r="D28" s="16" t="str">
        <f t="shared" si="20"/>
        <v>200</v>
      </c>
      <c r="E28" s="16" t="str">
        <f t="shared" si="21"/>
        <v>20</v>
      </c>
      <c r="F28" s="21" t="str">
        <f t="shared" si="22"/>
        <v>2004-06-**</v>
      </c>
      <c r="G28" s="24" t="str">
        <f t="shared" si="23"/>
        <v>2004-**-**</v>
      </c>
      <c r="H28" s="25" t="str">
        <f t="shared" si="24"/>
        <v>200*-**-**</v>
      </c>
      <c r="I28" s="27" t="str">
        <f t="shared" si="11"/>
        <v>20**-**-**</v>
      </c>
    </row>
    <row r="29" spans="1:9">
      <c r="A29" s="17" t="s">
        <v>75</v>
      </c>
      <c r="B29" s="16" t="str">
        <f t="shared" si="18"/>
        <v>07</v>
      </c>
      <c r="C29" s="16" t="str">
        <f t="shared" si="19"/>
        <v>2003</v>
      </c>
      <c r="D29" s="16" t="str">
        <f t="shared" si="20"/>
        <v>200</v>
      </c>
      <c r="E29" s="16" t="str">
        <f t="shared" si="21"/>
        <v>20</v>
      </c>
      <c r="F29" s="21" t="str">
        <f t="shared" si="22"/>
        <v>2003-07-**</v>
      </c>
      <c r="G29" s="24" t="str">
        <f t="shared" si="23"/>
        <v>2003-**-**</v>
      </c>
      <c r="H29" s="25" t="str">
        <f t="shared" si="24"/>
        <v>200*-**-**</v>
      </c>
      <c r="I29" s="27" t="str">
        <f t="shared" si="11"/>
        <v>20**-**-**</v>
      </c>
    </row>
    <row r="30" spans="1:9">
      <c r="A30" s="17" t="s">
        <v>76</v>
      </c>
      <c r="B30" s="16" t="str">
        <f t="shared" si="18"/>
        <v>07</v>
      </c>
      <c r="C30" s="16" t="str">
        <f t="shared" si="19"/>
        <v>2003</v>
      </c>
      <c r="D30" s="16" t="str">
        <f t="shared" si="20"/>
        <v>200</v>
      </c>
      <c r="E30" s="16" t="str">
        <f t="shared" si="21"/>
        <v>20</v>
      </c>
      <c r="F30" s="21" t="str">
        <f t="shared" si="22"/>
        <v>2003-07-**</v>
      </c>
      <c r="G30" s="24" t="str">
        <f t="shared" si="23"/>
        <v>2003-**-**</v>
      </c>
      <c r="H30" s="25" t="str">
        <f t="shared" si="24"/>
        <v>200*-**-**</v>
      </c>
      <c r="I30" s="27" t="str">
        <f t="shared" si="11"/>
        <v>20**-**-**</v>
      </c>
    </row>
  </sheetData>
  <autoFilter ref="A2:AF32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="150" zoomScaleNormal="140" workbookViewId="0">
      <selection activeCell="C23" sqref="C23"/>
    </sheetView>
  </sheetViews>
  <sheetFormatPr defaultColWidth="11" defaultRowHeight="15"/>
  <cols>
    <col min="1" max="1" width="10.88671875" style="1"/>
    <col min="3" max="3" width="8.109375" style="11" bestFit="1" customWidth="1"/>
    <col min="4" max="4" width="3.6640625" style="1" hidden="1" customWidth="1"/>
    <col min="5" max="5" width="4.44140625" style="1" hidden="1" customWidth="1"/>
    <col min="6" max="6" width="4.33203125" style="1" hidden="1" customWidth="1"/>
    <col min="7" max="7" width="10.88671875" style="1"/>
  </cols>
  <sheetData>
    <row r="1" spans="1:8" ht="15.75" thickBot="1">
      <c r="A1" s="9">
        <v>56</v>
      </c>
      <c r="C1" s="10" t="str">
        <f>E1&amp;"-"&amp;F1</f>
        <v>1-112</v>
      </c>
      <c r="D1" s="4">
        <f>FIND("-",C1,1)</f>
        <v>2</v>
      </c>
      <c r="E1" s="4">
        <v>1</v>
      </c>
      <c r="F1" s="4">
        <f>E1+111</f>
        <v>112</v>
      </c>
      <c r="G1" s="4">
        <f t="shared" ref="G1:G36" si="0">COUNTIFS(A:A,"&gt;="&amp;E1,A:A,"&lt;="&amp;F1)</f>
        <v>30</v>
      </c>
      <c r="H1" s="5" t="s">
        <v>35</v>
      </c>
    </row>
    <row r="2" spans="1:8" ht="15.75" thickBot="1">
      <c r="A2" s="9"/>
      <c r="C2" s="10" t="str">
        <f t="shared" ref="C2" si="1">E2&amp;"-"&amp;F2</f>
        <v>113-224</v>
      </c>
      <c r="D2" s="4">
        <f t="shared" ref="D2" si="2">FIND("-",C2,1)</f>
        <v>4</v>
      </c>
      <c r="E2" s="4">
        <f>F1+1</f>
        <v>113</v>
      </c>
      <c r="F2" s="4">
        <f>E2+111</f>
        <v>224</v>
      </c>
      <c r="G2" s="4">
        <f t="shared" si="0"/>
        <v>2</v>
      </c>
      <c r="H2" s="13"/>
    </row>
    <row r="3" spans="1:8">
      <c r="A3" s="9">
        <v>49</v>
      </c>
      <c r="C3" s="12" t="str">
        <f t="shared" ref="C3:C35" si="3">E3&amp;"-"&amp;F3</f>
        <v>1-56</v>
      </c>
      <c r="D3" s="7">
        <f t="shared" ref="D3:D35" si="4">FIND("-",C3,1)</f>
        <v>2</v>
      </c>
      <c r="E3" s="7">
        <f>E1</f>
        <v>1</v>
      </c>
      <c r="F3" s="7">
        <f>E3+55</f>
        <v>56</v>
      </c>
      <c r="G3" s="7">
        <f t="shared" si="0"/>
        <v>15</v>
      </c>
      <c r="H3" s="8" t="s">
        <v>34</v>
      </c>
    </row>
    <row r="4" spans="1:8" ht="15.75" thickBot="1">
      <c r="A4" s="9">
        <v>32</v>
      </c>
      <c r="C4" s="10" t="str">
        <f t="shared" si="3"/>
        <v>57-112</v>
      </c>
      <c r="D4" s="4">
        <f t="shared" si="4"/>
        <v>3</v>
      </c>
      <c r="E4" s="4">
        <f>F3+1</f>
        <v>57</v>
      </c>
      <c r="F4" s="4">
        <f>E4+55</f>
        <v>112</v>
      </c>
      <c r="G4" s="4">
        <f t="shared" si="0"/>
        <v>15</v>
      </c>
      <c r="H4" s="5"/>
    </row>
    <row r="5" spans="1:8" ht="15.75" thickBot="1">
      <c r="A5" s="9"/>
      <c r="C5" s="10" t="str">
        <f t="shared" ref="C5" si="5">E5&amp;"-"&amp;F5</f>
        <v>113-168</v>
      </c>
      <c r="D5" s="4">
        <f t="shared" ref="D5" si="6">FIND("-",C5,1)</f>
        <v>4</v>
      </c>
      <c r="E5" s="4">
        <f>F4+1</f>
        <v>113</v>
      </c>
      <c r="F5" s="4">
        <f>E5+55</f>
        <v>168</v>
      </c>
      <c r="G5" s="4">
        <f t="shared" si="0"/>
        <v>2</v>
      </c>
      <c r="H5" s="13"/>
    </row>
    <row r="6" spans="1:8">
      <c r="A6" s="9">
        <v>28</v>
      </c>
      <c r="C6" s="12" t="str">
        <f t="shared" si="3"/>
        <v>1-28</v>
      </c>
      <c r="D6" s="1">
        <f t="shared" si="4"/>
        <v>2</v>
      </c>
      <c r="E6" s="1">
        <f>E1</f>
        <v>1</v>
      </c>
      <c r="F6" s="1">
        <f>E6+27</f>
        <v>28</v>
      </c>
      <c r="G6" s="1">
        <f t="shared" si="0"/>
        <v>7</v>
      </c>
      <c r="H6" t="s">
        <v>33</v>
      </c>
    </row>
    <row r="7" spans="1:8">
      <c r="A7" s="9">
        <v>88</v>
      </c>
      <c r="C7" s="12" t="str">
        <f t="shared" si="3"/>
        <v>29-56</v>
      </c>
      <c r="D7" s="1">
        <f t="shared" si="4"/>
        <v>3</v>
      </c>
      <c r="E7" s="1">
        <f>F6+1</f>
        <v>29</v>
      </c>
      <c r="F7" s="1">
        <f>E7+27</f>
        <v>56</v>
      </c>
      <c r="G7" s="1">
        <f t="shared" si="0"/>
        <v>8</v>
      </c>
    </row>
    <row r="8" spans="1:8">
      <c r="A8" s="9">
        <v>90</v>
      </c>
      <c r="C8" s="12" t="str">
        <f t="shared" si="3"/>
        <v>57-84</v>
      </c>
      <c r="D8" s="1">
        <f t="shared" si="4"/>
        <v>3</v>
      </c>
      <c r="E8" s="1">
        <f t="shared" ref="E8:E10" si="7">F7+1</f>
        <v>57</v>
      </c>
      <c r="F8" s="1">
        <f t="shared" ref="F8:F10" si="8">E8+27</f>
        <v>84</v>
      </c>
      <c r="G8" s="1">
        <f t="shared" si="0"/>
        <v>7</v>
      </c>
    </row>
    <row r="9" spans="1:8" ht="15.75" thickBot="1">
      <c r="A9" s="9">
        <v>7</v>
      </c>
      <c r="C9" s="10" t="str">
        <f t="shared" si="3"/>
        <v>85-112</v>
      </c>
      <c r="D9" s="4">
        <f t="shared" si="4"/>
        <v>3</v>
      </c>
      <c r="E9" s="4">
        <f t="shared" si="7"/>
        <v>85</v>
      </c>
      <c r="F9" s="4">
        <f t="shared" si="8"/>
        <v>112</v>
      </c>
      <c r="G9" s="4">
        <f t="shared" si="0"/>
        <v>8</v>
      </c>
      <c r="H9" s="5"/>
    </row>
    <row r="10" spans="1:8" ht="15.75" thickBot="1">
      <c r="A10" s="9"/>
      <c r="C10" s="10" t="str">
        <f t="shared" ref="C10" si="9">E10&amp;"-"&amp;F10</f>
        <v>113-140</v>
      </c>
      <c r="D10" s="4">
        <f t="shared" ref="D10" si="10">FIND("-",C10,1)</f>
        <v>4</v>
      </c>
      <c r="E10" s="4">
        <f t="shared" si="7"/>
        <v>113</v>
      </c>
      <c r="F10" s="4">
        <f t="shared" si="8"/>
        <v>140</v>
      </c>
      <c r="G10" s="4">
        <f t="shared" si="0"/>
        <v>2</v>
      </c>
      <c r="H10" s="13"/>
    </row>
    <row r="11" spans="1:8">
      <c r="A11" s="9">
        <v>3</v>
      </c>
      <c r="C11" s="12" t="str">
        <f t="shared" si="3"/>
        <v>1-14</v>
      </c>
      <c r="D11" s="1">
        <f t="shared" si="4"/>
        <v>2</v>
      </c>
      <c r="E11" s="1">
        <f>E1</f>
        <v>1</v>
      </c>
      <c r="F11" s="1">
        <f>E11+13</f>
        <v>14</v>
      </c>
      <c r="G11" s="1">
        <f t="shared" si="0"/>
        <v>4</v>
      </c>
      <c r="H11" t="s">
        <v>32</v>
      </c>
    </row>
    <row r="12" spans="1:8">
      <c r="A12" s="9">
        <v>16</v>
      </c>
      <c r="C12" s="12" t="str">
        <f t="shared" si="3"/>
        <v>15-28</v>
      </c>
      <c r="D12" s="1">
        <f t="shared" si="4"/>
        <v>3</v>
      </c>
      <c r="E12" s="1">
        <f>F11+1</f>
        <v>15</v>
      </c>
      <c r="F12" s="1">
        <f>E12+13</f>
        <v>28</v>
      </c>
      <c r="G12" s="1">
        <f t="shared" si="0"/>
        <v>3</v>
      </c>
    </row>
    <row r="13" spans="1:8">
      <c r="A13" s="9">
        <v>11</v>
      </c>
      <c r="C13" s="12" t="str">
        <f t="shared" si="3"/>
        <v>29-42</v>
      </c>
      <c r="D13" s="1">
        <f t="shared" si="4"/>
        <v>3</v>
      </c>
      <c r="E13" s="1">
        <f t="shared" ref="E13:E19" si="11">F12+1</f>
        <v>29</v>
      </c>
      <c r="F13" s="1">
        <f t="shared" ref="F13:F19" si="12">E13+13</f>
        <v>42</v>
      </c>
      <c r="G13" s="1">
        <f t="shared" si="0"/>
        <v>4</v>
      </c>
    </row>
    <row r="14" spans="1:8">
      <c r="A14" s="9">
        <v>17</v>
      </c>
      <c r="C14" s="12" t="str">
        <f t="shared" si="3"/>
        <v>43-56</v>
      </c>
      <c r="D14" s="1">
        <f t="shared" si="4"/>
        <v>3</v>
      </c>
      <c r="E14" s="1">
        <f t="shared" si="11"/>
        <v>43</v>
      </c>
      <c r="F14" s="1">
        <f t="shared" si="12"/>
        <v>56</v>
      </c>
      <c r="G14" s="1">
        <f t="shared" si="0"/>
        <v>4</v>
      </c>
    </row>
    <row r="15" spans="1:8">
      <c r="A15" s="9">
        <v>12</v>
      </c>
      <c r="C15" s="12" t="str">
        <f t="shared" si="3"/>
        <v>57-70</v>
      </c>
      <c r="D15" s="1">
        <f t="shared" si="4"/>
        <v>3</v>
      </c>
      <c r="E15" s="1">
        <f t="shared" si="11"/>
        <v>57</v>
      </c>
      <c r="F15" s="1">
        <f t="shared" si="12"/>
        <v>70</v>
      </c>
      <c r="G15" s="1">
        <f t="shared" si="0"/>
        <v>4</v>
      </c>
    </row>
    <row r="16" spans="1:8">
      <c r="A16" s="9">
        <v>32</v>
      </c>
      <c r="C16" s="12" t="str">
        <f t="shared" si="3"/>
        <v>71-84</v>
      </c>
      <c r="D16" s="1">
        <f t="shared" si="4"/>
        <v>3</v>
      </c>
      <c r="E16" s="1">
        <f t="shared" si="11"/>
        <v>71</v>
      </c>
      <c r="F16" s="1">
        <f t="shared" si="12"/>
        <v>84</v>
      </c>
      <c r="G16" s="1">
        <f t="shared" si="0"/>
        <v>3</v>
      </c>
    </row>
    <row r="17" spans="1:8">
      <c r="A17" s="9">
        <v>29</v>
      </c>
      <c r="C17" s="12" t="str">
        <f t="shared" si="3"/>
        <v>85-98</v>
      </c>
      <c r="D17" s="1">
        <f t="shared" si="4"/>
        <v>3</v>
      </c>
      <c r="E17" s="1">
        <f t="shared" si="11"/>
        <v>85</v>
      </c>
      <c r="F17" s="1">
        <f t="shared" si="12"/>
        <v>98</v>
      </c>
      <c r="G17" s="1">
        <f t="shared" si="0"/>
        <v>4</v>
      </c>
    </row>
    <row r="18" spans="1:8" ht="15.75" thickBot="1">
      <c r="A18" s="9">
        <v>51</v>
      </c>
      <c r="C18" s="10" t="str">
        <f t="shared" si="3"/>
        <v>99-112</v>
      </c>
      <c r="D18" s="4">
        <f t="shared" si="4"/>
        <v>3</v>
      </c>
      <c r="E18" s="4">
        <f t="shared" si="11"/>
        <v>99</v>
      </c>
      <c r="F18" s="4">
        <f t="shared" si="12"/>
        <v>112</v>
      </c>
      <c r="G18" s="4">
        <f t="shared" si="0"/>
        <v>4</v>
      </c>
      <c r="H18" s="5"/>
    </row>
    <row r="19" spans="1:8" ht="15.75" thickBot="1">
      <c r="A19" s="9"/>
      <c r="C19" s="10" t="str">
        <f t="shared" ref="C19" si="13">E19&amp;"-"&amp;F19</f>
        <v>113-126</v>
      </c>
      <c r="D19" s="4">
        <f t="shared" ref="D19" si="14">FIND("-",C19,1)</f>
        <v>4</v>
      </c>
      <c r="E19" s="4">
        <f t="shared" si="11"/>
        <v>113</v>
      </c>
      <c r="F19" s="4">
        <f t="shared" si="12"/>
        <v>126</v>
      </c>
      <c r="G19" s="4">
        <f t="shared" si="0"/>
        <v>2</v>
      </c>
      <c r="H19" s="13"/>
    </row>
    <row r="20" spans="1:8">
      <c r="A20" s="9">
        <v>60</v>
      </c>
      <c r="C20" s="12" t="str">
        <f t="shared" si="3"/>
        <v>1-7</v>
      </c>
      <c r="D20" s="1">
        <f t="shared" si="4"/>
        <v>2</v>
      </c>
      <c r="E20" s="1">
        <f>E1</f>
        <v>1</v>
      </c>
      <c r="F20" s="1">
        <f>E20+6</f>
        <v>7</v>
      </c>
      <c r="G20" s="1">
        <f t="shared" si="0"/>
        <v>2</v>
      </c>
      <c r="H20" t="s">
        <v>31</v>
      </c>
    </row>
    <row r="21" spans="1:8">
      <c r="A21" s="9">
        <v>77</v>
      </c>
      <c r="C21" s="12" t="str">
        <f t="shared" si="3"/>
        <v>8-14</v>
      </c>
      <c r="D21" s="1">
        <f t="shared" si="4"/>
        <v>2</v>
      </c>
      <c r="E21" s="1">
        <f>F20+1</f>
        <v>8</v>
      </c>
      <c r="F21" s="1">
        <f>E21+6</f>
        <v>14</v>
      </c>
      <c r="G21" s="1">
        <f t="shared" si="0"/>
        <v>2</v>
      </c>
    </row>
    <row r="22" spans="1:8">
      <c r="A22" s="9">
        <v>81</v>
      </c>
      <c r="C22" s="12" t="str">
        <f t="shared" si="3"/>
        <v>15-21</v>
      </c>
      <c r="D22" s="1">
        <f t="shared" si="4"/>
        <v>3</v>
      </c>
      <c r="E22" s="1">
        <f t="shared" ref="E22:E36" si="15">F21+1</f>
        <v>15</v>
      </c>
      <c r="F22" s="1">
        <f t="shared" ref="F22:F36" si="16">E22+6</f>
        <v>21</v>
      </c>
      <c r="G22" s="1">
        <f t="shared" si="0"/>
        <v>2</v>
      </c>
    </row>
    <row r="23" spans="1:8">
      <c r="A23" s="9">
        <v>39</v>
      </c>
      <c r="C23" s="12" t="str">
        <f t="shared" si="3"/>
        <v>22-28</v>
      </c>
      <c r="D23" s="1">
        <f t="shared" si="4"/>
        <v>3</v>
      </c>
      <c r="E23" s="1">
        <f t="shared" si="15"/>
        <v>22</v>
      </c>
      <c r="F23" s="1">
        <f t="shared" si="16"/>
        <v>28</v>
      </c>
      <c r="G23" s="1">
        <f t="shared" si="0"/>
        <v>1</v>
      </c>
    </row>
    <row r="24" spans="1:8">
      <c r="A24" s="9">
        <v>44</v>
      </c>
      <c r="C24" s="12" t="str">
        <f t="shared" si="3"/>
        <v>29-35</v>
      </c>
      <c r="D24" s="1">
        <f t="shared" si="4"/>
        <v>3</v>
      </c>
      <c r="E24" s="1">
        <f t="shared" si="15"/>
        <v>29</v>
      </c>
      <c r="F24" s="1">
        <f t="shared" si="16"/>
        <v>35</v>
      </c>
      <c r="G24" s="1">
        <f t="shared" si="0"/>
        <v>3</v>
      </c>
    </row>
    <row r="25" spans="1:8">
      <c r="A25" s="9">
        <v>63</v>
      </c>
      <c r="C25" s="12" t="str">
        <f t="shared" si="3"/>
        <v>36-42</v>
      </c>
      <c r="D25" s="1">
        <f t="shared" si="4"/>
        <v>3</v>
      </c>
      <c r="E25" s="1">
        <f t="shared" si="15"/>
        <v>36</v>
      </c>
      <c r="F25" s="1">
        <f t="shared" si="16"/>
        <v>42</v>
      </c>
      <c r="G25" s="1">
        <f t="shared" si="0"/>
        <v>1</v>
      </c>
    </row>
    <row r="26" spans="1:8">
      <c r="A26" s="9">
        <v>63</v>
      </c>
      <c r="C26" s="12" t="str">
        <f t="shared" si="3"/>
        <v>43-49</v>
      </c>
      <c r="D26" s="1">
        <f t="shared" si="4"/>
        <v>3</v>
      </c>
      <c r="E26" s="1">
        <f t="shared" si="15"/>
        <v>43</v>
      </c>
      <c r="F26" s="1">
        <f t="shared" si="16"/>
        <v>49</v>
      </c>
      <c r="G26" s="1">
        <f t="shared" si="0"/>
        <v>2</v>
      </c>
    </row>
    <row r="27" spans="1:8">
      <c r="A27" s="9">
        <v>70</v>
      </c>
      <c r="C27" s="12" t="str">
        <f t="shared" si="3"/>
        <v>50-56</v>
      </c>
      <c r="D27" s="1">
        <f t="shared" si="4"/>
        <v>3</v>
      </c>
      <c r="E27" s="1">
        <f t="shared" si="15"/>
        <v>50</v>
      </c>
      <c r="F27" s="1">
        <f t="shared" si="16"/>
        <v>56</v>
      </c>
      <c r="G27" s="1">
        <f t="shared" si="0"/>
        <v>2</v>
      </c>
    </row>
    <row r="28" spans="1:8">
      <c r="A28" s="9">
        <v>71</v>
      </c>
      <c r="C28" s="12" t="str">
        <f t="shared" si="3"/>
        <v>57-63</v>
      </c>
      <c r="D28" s="1">
        <f t="shared" si="4"/>
        <v>3</v>
      </c>
      <c r="E28" s="1">
        <f t="shared" si="15"/>
        <v>57</v>
      </c>
      <c r="F28" s="1">
        <f t="shared" si="16"/>
        <v>63</v>
      </c>
      <c r="G28" s="1">
        <f t="shared" si="0"/>
        <v>3</v>
      </c>
    </row>
    <row r="29" spans="1:8">
      <c r="A29" s="1">
        <v>93</v>
      </c>
      <c r="C29" s="12" t="str">
        <f t="shared" si="3"/>
        <v>64-70</v>
      </c>
      <c r="D29" s="1">
        <f t="shared" si="4"/>
        <v>3</v>
      </c>
      <c r="E29" s="1">
        <f t="shared" si="15"/>
        <v>64</v>
      </c>
      <c r="F29" s="1">
        <f t="shared" si="16"/>
        <v>70</v>
      </c>
      <c r="G29" s="1">
        <f t="shared" si="0"/>
        <v>1</v>
      </c>
    </row>
    <row r="30" spans="1:8">
      <c r="A30" s="1">
        <v>94</v>
      </c>
      <c r="C30" s="12" t="str">
        <f t="shared" si="3"/>
        <v>71-77</v>
      </c>
      <c r="D30" s="1">
        <f t="shared" si="4"/>
        <v>3</v>
      </c>
      <c r="E30" s="1">
        <f t="shared" si="15"/>
        <v>71</v>
      </c>
      <c r="F30" s="1">
        <f t="shared" si="16"/>
        <v>77</v>
      </c>
      <c r="G30" s="1">
        <f t="shared" si="0"/>
        <v>2</v>
      </c>
    </row>
    <row r="31" spans="1:8">
      <c r="A31" s="1">
        <v>100</v>
      </c>
      <c r="C31" s="12" t="str">
        <f t="shared" si="3"/>
        <v>78-84</v>
      </c>
      <c r="D31" s="1">
        <f t="shared" si="4"/>
        <v>3</v>
      </c>
      <c r="E31" s="1">
        <f t="shared" si="15"/>
        <v>78</v>
      </c>
      <c r="F31" s="1">
        <f t="shared" si="16"/>
        <v>84</v>
      </c>
      <c r="G31" s="1">
        <f t="shared" si="0"/>
        <v>1</v>
      </c>
    </row>
    <row r="32" spans="1:8">
      <c r="A32" s="1">
        <v>102</v>
      </c>
      <c r="C32" s="12" t="str">
        <f t="shared" si="3"/>
        <v>85-91</v>
      </c>
      <c r="D32" s="1">
        <f t="shared" si="4"/>
        <v>3</v>
      </c>
      <c r="E32" s="1">
        <f t="shared" si="15"/>
        <v>85</v>
      </c>
      <c r="F32" s="1">
        <f t="shared" si="16"/>
        <v>91</v>
      </c>
      <c r="G32" s="1">
        <f t="shared" si="0"/>
        <v>2</v>
      </c>
    </row>
    <row r="33" spans="1:8">
      <c r="A33" s="1">
        <v>107</v>
      </c>
      <c r="C33" s="12" t="str">
        <f t="shared" si="3"/>
        <v>92-98</v>
      </c>
      <c r="D33" s="1">
        <f t="shared" si="4"/>
        <v>3</v>
      </c>
      <c r="E33" s="1">
        <f t="shared" si="15"/>
        <v>92</v>
      </c>
      <c r="F33" s="1">
        <f t="shared" si="16"/>
        <v>98</v>
      </c>
      <c r="G33" s="1">
        <f t="shared" si="0"/>
        <v>2</v>
      </c>
    </row>
    <row r="34" spans="1:8">
      <c r="A34" s="1">
        <v>110</v>
      </c>
      <c r="C34" s="12" t="str">
        <f t="shared" si="3"/>
        <v>99-105</v>
      </c>
      <c r="D34" s="1">
        <f t="shared" si="4"/>
        <v>3</v>
      </c>
      <c r="E34" s="1">
        <f t="shared" si="15"/>
        <v>99</v>
      </c>
      <c r="F34" s="1">
        <f t="shared" si="16"/>
        <v>105</v>
      </c>
      <c r="G34" s="1">
        <f t="shared" si="0"/>
        <v>2</v>
      </c>
    </row>
    <row r="35" spans="1:8" ht="15.75" thickBot="1">
      <c r="A35" s="1">
        <v>114</v>
      </c>
      <c r="C35" s="10" t="str">
        <f t="shared" si="3"/>
        <v>106-112</v>
      </c>
      <c r="D35" s="4">
        <f t="shared" si="4"/>
        <v>4</v>
      </c>
      <c r="E35" s="4">
        <f t="shared" si="15"/>
        <v>106</v>
      </c>
      <c r="F35" s="4">
        <f t="shared" si="16"/>
        <v>112</v>
      </c>
      <c r="G35" s="4">
        <f t="shared" si="0"/>
        <v>2</v>
      </c>
      <c r="H35" s="5"/>
    </row>
    <row r="36" spans="1:8" ht="15.75" thickBot="1">
      <c r="A36" s="1">
        <v>116</v>
      </c>
      <c r="C36" s="10" t="str">
        <f t="shared" ref="C36" si="17">E36&amp;"-"&amp;F36</f>
        <v>113-119</v>
      </c>
      <c r="D36" s="4">
        <f t="shared" ref="D36" si="18">FIND("-",C36,1)</f>
        <v>4</v>
      </c>
      <c r="E36" s="4">
        <f t="shared" si="15"/>
        <v>113</v>
      </c>
      <c r="F36" s="4">
        <f t="shared" si="16"/>
        <v>119</v>
      </c>
      <c r="G36" s="4">
        <f t="shared" si="0"/>
        <v>2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4"/>
  <sheetViews>
    <sheetView tabSelected="1" workbookViewId="0">
      <selection activeCell="B3" sqref="B3"/>
    </sheetView>
  </sheetViews>
  <sheetFormatPr defaultRowHeight="15"/>
  <cols>
    <col min="1" max="2" width="13.44140625" bestFit="1" customWidth="1"/>
    <col min="6" max="6" width="19.109375" bestFit="1" customWidth="1"/>
    <col min="7" max="7" width="7.33203125" customWidth="1"/>
    <col min="8" max="8" width="15.77734375" customWidth="1"/>
  </cols>
  <sheetData>
    <row r="1" spans="1:22">
      <c r="A1" s="14" t="s">
        <v>113</v>
      </c>
      <c r="B1" t="s">
        <v>122</v>
      </c>
      <c r="C1" t="s">
        <v>121</v>
      </c>
      <c r="K1" s="30" t="s">
        <v>123</v>
      </c>
    </row>
    <row r="2" spans="1:22">
      <c r="A2" t="s">
        <v>37</v>
      </c>
      <c r="B2">
        <v>1</v>
      </c>
      <c r="C2">
        <v>1</v>
      </c>
      <c r="D2">
        <v>0</v>
      </c>
      <c r="K2" t="s">
        <v>124</v>
      </c>
    </row>
    <row r="3" spans="1:22">
      <c r="A3" t="s">
        <v>36</v>
      </c>
      <c r="B3">
        <v>1</v>
      </c>
      <c r="C3">
        <v>7</v>
      </c>
      <c r="D3">
        <v>1</v>
      </c>
    </row>
    <row r="4" spans="1:22">
      <c r="A4" t="s">
        <v>38</v>
      </c>
      <c r="B4">
        <v>2</v>
      </c>
      <c r="C4">
        <v>2</v>
      </c>
      <c r="D4">
        <v>3</v>
      </c>
    </row>
    <row r="5" spans="1:22">
      <c r="E5" t="str">
        <f>+A3</f>
        <v>Interval</v>
      </c>
      <c r="F5" t="s">
        <v>119</v>
      </c>
      <c r="J5" t="s">
        <v>137</v>
      </c>
      <c r="M5" t="s">
        <v>135</v>
      </c>
      <c r="P5" t="s">
        <v>135</v>
      </c>
      <c r="S5" t="s">
        <v>135</v>
      </c>
      <c r="V5" t="s">
        <v>136</v>
      </c>
    </row>
    <row r="6" spans="1:22">
      <c r="D6" t="s">
        <v>39</v>
      </c>
      <c r="E6" s="35" t="s">
        <v>118</v>
      </c>
      <c r="F6" s="35" t="s">
        <v>120</v>
      </c>
      <c r="I6" t="s">
        <v>118</v>
      </c>
      <c r="J6" t="s">
        <v>120</v>
      </c>
      <c r="L6" s="35" t="s">
        <v>118</v>
      </c>
      <c r="M6" s="35" t="s">
        <v>120</v>
      </c>
      <c r="O6" t="s">
        <v>118</v>
      </c>
      <c r="P6" t="s">
        <v>120</v>
      </c>
      <c r="R6" t="s">
        <v>118</v>
      </c>
      <c r="S6" t="s">
        <v>120</v>
      </c>
      <c r="U6" t="s">
        <v>118</v>
      </c>
      <c r="V6" t="s">
        <v>120</v>
      </c>
    </row>
    <row r="7" spans="1:22">
      <c r="D7">
        <v>1</v>
      </c>
      <c r="E7" s="35">
        <f t="shared" ref="E7:E14" si="0">+$B$2</f>
        <v>1</v>
      </c>
      <c r="F7" s="35">
        <f t="shared" ref="F7:F14" si="1">+$B$2+$B$3*$B$4^(D7-1)</f>
        <v>2</v>
      </c>
      <c r="I7">
        <f>+F7</f>
        <v>2</v>
      </c>
      <c r="J7">
        <f t="shared" ref="J7:J14" si="2">+I7+F7-E7</f>
        <v>3</v>
      </c>
      <c r="L7" s="35">
        <f>+J7</f>
        <v>3</v>
      </c>
      <c r="M7" s="35">
        <f>+L7+J7-I7</f>
        <v>4</v>
      </c>
      <c r="O7">
        <f>+M7</f>
        <v>4</v>
      </c>
      <c r="P7">
        <f>+O7+M7-L7</f>
        <v>5</v>
      </c>
      <c r="R7" s="35">
        <f>+P7</f>
        <v>5</v>
      </c>
      <c r="S7" s="35">
        <f>+R7+P7-O7</f>
        <v>6</v>
      </c>
      <c r="U7">
        <f>+S7</f>
        <v>6</v>
      </c>
      <c r="V7">
        <f>+U7+S7-R7</f>
        <v>7</v>
      </c>
    </row>
    <row r="8" spans="1:22">
      <c r="D8">
        <v>2</v>
      </c>
      <c r="E8">
        <f t="shared" si="0"/>
        <v>1</v>
      </c>
      <c r="F8">
        <f t="shared" si="1"/>
        <v>3</v>
      </c>
      <c r="I8">
        <f>+F8</f>
        <v>3</v>
      </c>
      <c r="J8">
        <f t="shared" si="2"/>
        <v>5</v>
      </c>
      <c r="L8">
        <f t="shared" ref="L8:L14" si="3">+J8</f>
        <v>5</v>
      </c>
      <c r="M8">
        <f t="shared" ref="M8:M11" si="4">+L8+J8-I8</f>
        <v>7</v>
      </c>
      <c r="O8">
        <f t="shared" ref="O8:O14" si="5">+M8</f>
        <v>7</v>
      </c>
      <c r="P8">
        <f t="shared" ref="P8:P11" si="6">+O8+M8-L8</f>
        <v>9</v>
      </c>
      <c r="R8">
        <f t="shared" ref="R8:R14" si="7">+P8</f>
        <v>9</v>
      </c>
      <c r="S8">
        <f t="shared" ref="S8:S11" si="8">+R8+P8-O8</f>
        <v>11</v>
      </c>
      <c r="U8">
        <f t="shared" ref="U8:U14" si="9">+S8</f>
        <v>11</v>
      </c>
      <c r="V8">
        <f t="shared" ref="V8:V11" si="10">+U8+S8-R8</f>
        <v>13</v>
      </c>
    </row>
    <row r="9" spans="1:22">
      <c r="D9">
        <v>3</v>
      </c>
      <c r="E9">
        <f t="shared" si="0"/>
        <v>1</v>
      </c>
      <c r="F9">
        <f t="shared" si="1"/>
        <v>5</v>
      </c>
      <c r="I9">
        <f t="shared" ref="I9:I14" si="11">+F9</f>
        <v>5</v>
      </c>
      <c r="J9">
        <f t="shared" si="2"/>
        <v>9</v>
      </c>
      <c r="L9">
        <f t="shared" si="3"/>
        <v>9</v>
      </c>
      <c r="M9">
        <f t="shared" si="4"/>
        <v>13</v>
      </c>
      <c r="O9">
        <f t="shared" si="5"/>
        <v>13</v>
      </c>
      <c r="P9">
        <f t="shared" si="6"/>
        <v>17</v>
      </c>
      <c r="R9">
        <f t="shared" si="7"/>
        <v>17</v>
      </c>
      <c r="S9">
        <f t="shared" si="8"/>
        <v>21</v>
      </c>
      <c r="U9">
        <f t="shared" si="9"/>
        <v>21</v>
      </c>
      <c r="V9">
        <f t="shared" si="10"/>
        <v>25</v>
      </c>
    </row>
    <row r="10" spans="1:22">
      <c r="D10">
        <v>4</v>
      </c>
      <c r="E10">
        <f t="shared" si="0"/>
        <v>1</v>
      </c>
      <c r="F10">
        <f t="shared" si="1"/>
        <v>9</v>
      </c>
      <c r="I10">
        <f t="shared" si="11"/>
        <v>9</v>
      </c>
      <c r="J10">
        <f t="shared" si="2"/>
        <v>17</v>
      </c>
      <c r="L10">
        <f t="shared" si="3"/>
        <v>17</v>
      </c>
      <c r="M10">
        <f t="shared" si="4"/>
        <v>25</v>
      </c>
      <c r="O10">
        <f t="shared" si="5"/>
        <v>25</v>
      </c>
      <c r="P10">
        <f t="shared" si="6"/>
        <v>33</v>
      </c>
      <c r="R10">
        <f t="shared" si="7"/>
        <v>33</v>
      </c>
      <c r="S10">
        <f t="shared" si="8"/>
        <v>41</v>
      </c>
      <c r="U10">
        <f t="shared" si="9"/>
        <v>41</v>
      </c>
      <c r="V10">
        <f t="shared" si="10"/>
        <v>49</v>
      </c>
    </row>
    <row r="11" spans="1:22">
      <c r="D11">
        <v>5</v>
      </c>
      <c r="E11">
        <f t="shared" si="0"/>
        <v>1</v>
      </c>
      <c r="F11">
        <f t="shared" si="1"/>
        <v>17</v>
      </c>
      <c r="I11">
        <f t="shared" si="11"/>
        <v>17</v>
      </c>
      <c r="J11">
        <f t="shared" si="2"/>
        <v>33</v>
      </c>
      <c r="L11">
        <f t="shared" si="3"/>
        <v>33</v>
      </c>
      <c r="M11">
        <f t="shared" si="4"/>
        <v>49</v>
      </c>
      <c r="O11">
        <f t="shared" si="5"/>
        <v>49</v>
      </c>
      <c r="P11">
        <f t="shared" si="6"/>
        <v>65</v>
      </c>
      <c r="R11">
        <f t="shared" si="7"/>
        <v>65</v>
      </c>
      <c r="S11">
        <f t="shared" si="8"/>
        <v>81</v>
      </c>
      <c r="U11">
        <f t="shared" si="9"/>
        <v>81</v>
      </c>
      <c r="V11">
        <f t="shared" si="10"/>
        <v>97</v>
      </c>
    </row>
    <row r="12" spans="1:22">
      <c r="D12">
        <v>6</v>
      </c>
      <c r="E12">
        <f t="shared" si="0"/>
        <v>1</v>
      </c>
      <c r="F12">
        <f t="shared" si="1"/>
        <v>33</v>
      </c>
      <c r="I12">
        <f t="shared" si="11"/>
        <v>33</v>
      </c>
      <c r="J12">
        <f t="shared" si="2"/>
        <v>65</v>
      </c>
      <c r="L12">
        <f t="shared" si="3"/>
        <v>65</v>
      </c>
      <c r="M12">
        <f t="shared" ref="M12:M13" si="12">+L12+J12-I12</f>
        <v>97</v>
      </c>
      <c r="O12">
        <f t="shared" si="5"/>
        <v>97</v>
      </c>
      <c r="P12">
        <f t="shared" ref="P12:P13" si="13">+O12+M12-L12</f>
        <v>129</v>
      </c>
      <c r="R12">
        <f t="shared" si="7"/>
        <v>129</v>
      </c>
      <c r="S12">
        <f t="shared" ref="S12:S13" si="14">+R12+P12-O12</f>
        <v>161</v>
      </c>
      <c r="U12">
        <f t="shared" si="9"/>
        <v>161</v>
      </c>
      <c r="V12">
        <f t="shared" ref="V12:V13" si="15">+U12+S12-R12</f>
        <v>193</v>
      </c>
    </row>
    <row r="13" spans="1:22">
      <c r="D13">
        <v>7</v>
      </c>
      <c r="E13">
        <f t="shared" si="0"/>
        <v>1</v>
      </c>
      <c r="F13">
        <f t="shared" si="1"/>
        <v>65</v>
      </c>
      <c r="I13">
        <f t="shared" si="11"/>
        <v>65</v>
      </c>
      <c r="J13">
        <f t="shared" si="2"/>
        <v>129</v>
      </c>
      <c r="L13">
        <f t="shared" si="3"/>
        <v>129</v>
      </c>
      <c r="M13">
        <f t="shared" si="12"/>
        <v>193</v>
      </c>
      <c r="O13">
        <f t="shared" si="5"/>
        <v>193</v>
      </c>
      <c r="P13">
        <f t="shared" si="13"/>
        <v>257</v>
      </c>
      <c r="R13">
        <f t="shared" si="7"/>
        <v>257</v>
      </c>
      <c r="S13">
        <f t="shared" si="14"/>
        <v>321</v>
      </c>
      <c r="U13">
        <f t="shared" si="9"/>
        <v>321</v>
      </c>
      <c r="V13">
        <f t="shared" si="15"/>
        <v>385</v>
      </c>
    </row>
    <row r="14" spans="1:22">
      <c r="D14">
        <v>8</v>
      </c>
      <c r="E14">
        <f t="shared" si="0"/>
        <v>1</v>
      </c>
      <c r="F14">
        <f t="shared" si="1"/>
        <v>129</v>
      </c>
      <c r="I14">
        <f t="shared" si="11"/>
        <v>129</v>
      </c>
      <c r="J14">
        <f t="shared" si="2"/>
        <v>257</v>
      </c>
      <c r="L14">
        <f t="shared" si="3"/>
        <v>257</v>
      </c>
      <c r="M14">
        <f t="shared" ref="M14" si="16">+L14+J14-I14</f>
        <v>385</v>
      </c>
      <c r="O14">
        <f t="shared" si="5"/>
        <v>385</v>
      </c>
      <c r="P14">
        <f t="shared" ref="P14" si="17">+O14+M14-L14</f>
        <v>513</v>
      </c>
      <c r="R14">
        <f t="shared" si="7"/>
        <v>513</v>
      </c>
      <c r="S14">
        <f t="shared" ref="S14" si="18">+R14+P14-O14</f>
        <v>641</v>
      </c>
      <c r="U14">
        <f t="shared" si="9"/>
        <v>641</v>
      </c>
      <c r="V14">
        <f t="shared" ref="V14" si="19">+U14+S14-R14</f>
        <v>769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rightToLeft="1" workbookViewId="0">
      <selection activeCell="S3" sqref="S3"/>
    </sheetView>
  </sheetViews>
  <sheetFormatPr defaultRowHeight="15"/>
  <cols>
    <col min="2" max="2" width="13.44140625" customWidth="1"/>
    <col min="3" max="3" width="10.109375" customWidth="1"/>
    <col min="4" max="4" width="13.6640625" customWidth="1"/>
  </cols>
  <sheetData>
    <row r="1" spans="1:4">
      <c r="A1" s="31" t="s">
        <v>125</v>
      </c>
      <c r="B1" s="31" t="s">
        <v>134</v>
      </c>
      <c r="C1" s="31" t="s">
        <v>126</v>
      </c>
      <c r="D1" s="31" t="s">
        <v>116</v>
      </c>
    </row>
    <row r="2" spans="1:4" ht="45">
      <c r="A2" s="32">
        <v>2</v>
      </c>
      <c r="B2" s="33" t="s">
        <v>127</v>
      </c>
      <c r="C2" s="33" t="s">
        <v>133</v>
      </c>
      <c r="D2" s="33" t="s">
        <v>132</v>
      </c>
    </row>
    <row r="3" spans="1:4" ht="45">
      <c r="A3" s="34" t="s">
        <v>128</v>
      </c>
      <c r="B3" s="33" t="s">
        <v>129</v>
      </c>
      <c r="C3" s="33" t="s">
        <v>133</v>
      </c>
      <c r="D3" s="33" t="s">
        <v>132</v>
      </c>
    </row>
    <row r="4" spans="1:4" ht="45">
      <c r="A4" s="34" t="s">
        <v>130</v>
      </c>
      <c r="B4" s="33" t="s">
        <v>129</v>
      </c>
      <c r="C4" s="33" t="s">
        <v>133</v>
      </c>
      <c r="D4" s="33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 activeCell="C1" sqref="C1:C29"/>
    </sheetView>
  </sheetViews>
  <sheetFormatPr defaultRowHeight="15"/>
  <cols>
    <col min="1" max="1" width="11.21875" customWidth="1"/>
  </cols>
  <sheetData>
    <row r="1" spans="1:3">
      <c r="A1" s="19" t="s">
        <v>115</v>
      </c>
      <c r="B1" s="15" t="s">
        <v>40</v>
      </c>
      <c r="C1" s="15" t="s">
        <v>116</v>
      </c>
    </row>
    <row r="2" spans="1:3">
      <c r="A2" s="17" t="s">
        <v>45</v>
      </c>
      <c r="B2" s="15">
        <v>3</v>
      </c>
      <c r="C2" s="15" t="s">
        <v>114</v>
      </c>
    </row>
    <row r="3" spans="1:3">
      <c r="A3" s="17" t="s">
        <v>50</v>
      </c>
      <c r="B3" s="15">
        <v>7</v>
      </c>
      <c r="C3" s="15" t="s">
        <v>117</v>
      </c>
    </row>
    <row r="4" spans="1:3">
      <c r="A4" s="17" t="s">
        <v>51</v>
      </c>
      <c r="B4" s="15">
        <v>11</v>
      </c>
      <c r="C4" s="15" t="s">
        <v>114</v>
      </c>
    </row>
    <row r="5" spans="1:3">
      <c r="A5" s="17" t="s">
        <v>52</v>
      </c>
      <c r="B5" s="15">
        <v>12</v>
      </c>
      <c r="C5" s="15" t="s">
        <v>117</v>
      </c>
    </row>
    <row r="6" spans="1:3">
      <c r="A6" s="17" t="s">
        <v>53</v>
      </c>
      <c r="B6" s="15">
        <v>16</v>
      </c>
      <c r="C6" s="15" t="s">
        <v>114</v>
      </c>
    </row>
    <row r="7" spans="1:3">
      <c r="A7" s="17" t="s">
        <v>54</v>
      </c>
      <c r="B7" s="15">
        <v>17</v>
      </c>
      <c r="C7" s="15" t="s">
        <v>117</v>
      </c>
    </row>
    <row r="8" spans="1:3">
      <c r="A8" s="17" t="s">
        <v>55</v>
      </c>
      <c r="B8" s="15">
        <v>28</v>
      </c>
      <c r="C8" s="15" t="s">
        <v>114</v>
      </c>
    </row>
    <row r="9" spans="1:3">
      <c r="A9" s="17" t="s">
        <v>56</v>
      </c>
      <c r="B9" s="15">
        <v>29</v>
      </c>
      <c r="C9" s="15" t="s">
        <v>117</v>
      </c>
    </row>
    <row r="10" spans="1:3">
      <c r="A10" s="17" t="s">
        <v>57</v>
      </c>
      <c r="B10" s="15">
        <v>32</v>
      </c>
      <c r="C10" s="15" t="s">
        <v>114</v>
      </c>
    </row>
    <row r="11" spans="1:3">
      <c r="A11" s="17" t="s">
        <v>58</v>
      </c>
      <c r="B11" s="15">
        <v>32</v>
      </c>
      <c r="C11" s="15" t="s">
        <v>117</v>
      </c>
    </row>
    <row r="12" spans="1:3">
      <c r="A12" s="17" t="s">
        <v>59</v>
      </c>
      <c r="B12" s="15">
        <v>39</v>
      </c>
      <c r="C12" s="15" t="s">
        <v>114</v>
      </c>
    </row>
    <row r="13" spans="1:3">
      <c r="A13" s="17" t="s">
        <v>60</v>
      </c>
      <c r="B13" s="15">
        <v>44</v>
      </c>
      <c r="C13" s="15" t="s">
        <v>117</v>
      </c>
    </row>
    <row r="14" spans="1:3">
      <c r="A14" s="17" t="s">
        <v>61</v>
      </c>
      <c r="B14" s="15">
        <v>49</v>
      </c>
      <c r="C14" s="15" t="s">
        <v>114</v>
      </c>
    </row>
    <row r="15" spans="1:3">
      <c r="A15" s="17" t="s">
        <v>62</v>
      </c>
      <c r="B15" s="15">
        <v>51</v>
      </c>
      <c r="C15" s="15" t="s">
        <v>117</v>
      </c>
    </row>
    <row r="16" spans="1:3">
      <c r="A16" s="17" t="s">
        <v>63</v>
      </c>
      <c r="B16" s="15">
        <v>56</v>
      </c>
      <c r="C16" s="15" t="s">
        <v>114</v>
      </c>
    </row>
    <row r="17" spans="1:3">
      <c r="A17" s="17" t="s">
        <v>64</v>
      </c>
      <c r="B17" s="15">
        <v>60</v>
      </c>
      <c r="C17" s="15" t="s">
        <v>117</v>
      </c>
    </row>
    <row r="18" spans="1:3">
      <c r="A18" s="17" t="s">
        <v>65</v>
      </c>
      <c r="B18" s="15">
        <v>63</v>
      </c>
      <c r="C18" s="15" t="s">
        <v>114</v>
      </c>
    </row>
    <row r="19" spans="1:3">
      <c r="A19" s="17" t="s">
        <v>66</v>
      </c>
      <c r="B19" s="15">
        <v>63</v>
      </c>
      <c r="C19" s="15" t="s">
        <v>114</v>
      </c>
    </row>
    <row r="20" spans="1:3">
      <c r="A20" s="17" t="s">
        <v>67</v>
      </c>
      <c r="B20" s="15">
        <v>70</v>
      </c>
      <c r="C20" s="15" t="s">
        <v>117</v>
      </c>
    </row>
    <row r="21" spans="1:3">
      <c r="A21" s="17" t="s">
        <v>68</v>
      </c>
      <c r="B21" s="15">
        <v>71</v>
      </c>
      <c r="C21" s="15" t="s">
        <v>114</v>
      </c>
    </row>
    <row r="22" spans="1:3">
      <c r="A22" s="17" t="s">
        <v>69</v>
      </c>
      <c r="B22" s="15">
        <v>77</v>
      </c>
      <c r="C22" s="15" t="s">
        <v>117</v>
      </c>
    </row>
    <row r="23" spans="1:3">
      <c r="A23" s="17" t="s">
        <v>70</v>
      </c>
      <c r="B23" s="15">
        <v>81</v>
      </c>
      <c r="C23" s="15" t="s">
        <v>114</v>
      </c>
    </row>
    <row r="24" spans="1:3">
      <c r="A24" s="17" t="s">
        <v>71</v>
      </c>
      <c r="B24" s="15">
        <v>88</v>
      </c>
      <c r="C24" s="15" t="s">
        <v>117</v>
      </c>
    </row>
    <row r="25" spans="1:3">
      <c r="A25" s="17" t="s">
        <v>72</v>
      </c>
      <c r="B25" s="15">
        <v>90</v>
      </c>
      <c r="C25" s="15" t="s">
        <v>114</v>
      </c>
    </row>
    <row r="26" spans="1:3">
      <c r="A26" s="17" t="s">
        <v>73</v>
      </c>
      <c r="B26" s="15">
        <v>93</v>
      </c>
      <c r="C26" s="15" t="s">
        <v>117</v>
      </c>
    </row>
    <row r="27" spans="1:3">
      <c r="A27" s="17" t="s">
        <v>74</v>
      </c>
      <c r="B27" s="15">
        <v>94</v>
      </c>
      <c r="C27" s="15" t="s">
        <v>114</v>
      </c>
    </row>
    <row r="28" spans="1:3">
      <c r="A28" s="17" t="s">
        <v>75</v>
      </c>
      <c r="B28" s="15">
        <v>100</v>
      </c>
      <c r="C28" s="15" t="s">
        <v>114</v>
      </c>
    </row>
    <row r="29" spans="1:3">
      <c r="A29" s="17" t="s">
        <v>76</v>
      </c>
      <c r="B29" s="15">
        <v>102</v>
      </c>
      <c r="C29" s="1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ages</vt:lpstr>
      <vt:lpstr>Dates</vt:lpstr>
      <vt:lpstr>ages betty</vt:lpstr>
      <vt:lpstr>Function</vt:lpstr>
      <vt:lpstr>Result_Sequential_decimal_num</vt:lpstr>
      <vt:lpstr>Full_Data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Raziel Horovitz</dc:creator>
  <cp:lastModifiedBy>אמיר שקד</cp:lastModifiedBy>
  <dcterms:created xsi:type="dcterms:W3CDTF">2018-03-11T14:59:26Z</dcterms:created>
  <dcterms:modified xsi:type="dcterms:W3CDTF">2018-08-13T13:02:08Z</dcterms:modified>
</cp:coreProperties>
</file>